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anMOUNIER\Downloads\"/>
    </mc:Choice>
  </mc:AlternateContent>
  <xr:revisionPtr revIDLastSave="0" documentId="13_ncr:1_{53187FF4-7ED0-476F-B201-99F9CD648F7F}" xr6:coauthVersionLast="47" xr6:coauthVersionMax="47" xr10:uidLastSave="{00000000-0000-0000-0000-000000000000}"/>
  <bookViews>
    <workbookView xWindow="-98" yWindow="-98" windowWidth="21795" windowHeight="12975" tabRatio="500" firstSheet="2" activeTab="4" xr2:uid="{00000000-000D-0000-FFFF-FFFF00000000}"/>
  </bookViews>
  <sheets>
    <sheet name="⚙ Config" sheetId="1" r:id="rId1"/>
    <sheet name="RH" sheetId="2" r:id="rId2"/>
    <sheet name="Tech" sheetId="3" r:id="rId3"/>
    <sheet name="S&amp;M" sheetId="4" r:id="rId4"/>
    <sheet name="G&amp;A" sheetId="5" r:id="rId5"/>
    <sheet name="✅ Synthèse" sheetId="6" r:id="rId6"/>
    <sheet name="Contrôles" sheetId="7" r:id="rId7"/>
    <sheet name="📋 Note proces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6" i="6" l="1"/>
  <c r="J6" i="6"/>
  <c r="I6" i="6"/>
  <c r="H6" i="6"/>
  <c r="F4" i="6"/>
  <c r="E19" i="5"/>
  <c r="E7" i="6" s="1"/>
  <c r="K18" i="5"/>
  <c r="J18" i="5"/>
  <c r="I18" i="5"/>
  <c r="H18" i="5"/>
  <c r="G18" i="5"/>
  <c r="F18" i="5"/>
  <c r="E18" i="5"/>
  <c r="D18" i="5"/>
  <c r="C18" i="5"/>
  <c r="L18" i="5" s="1"/>
  <c r="L17" i="5"/>
  <c r="L16" i="5"/>
  <c r="K14" i="5"/>
  <c r="J14" i="5"/>
  <c r="I14" i="5"/>
  <c r="H14" i="5"/>
  <c r="G14" i="5"/>
  <c r="F14" i="5"/>
  <c r="E14" i="5"/>
  <c r="D14" i="5"/>
  <c r="C14" i="5"/>
  <c r="L14" i="5" s="1"/>
  <c r="L13" i="5"/>
  <c r="L12" i="5"/>
  <c r="L11" i="5"/>
  <c r="L10" i="5"/>
  <c r="K8" i="5"/>
  <c r="K19" i="5" s="1"/>
  <c r="K7" i="6" s="1"/>
  <c r="J8" i="5"/>
  <c r="J19" i="5" s="1"/>
  <c r="J7" i="6" s="1"/>
  <c r="I8" i="5"/>
  <c r="I19" i="5" s="1"/>
  <c r="I7" i="6" s="1"/>
  <c r="H8" i="5"/>
  <c r="H19" i="5" s="1"/>
  <c r="H7" i="6" s="1"/>
  <c r="G8" i="5"/>
  <c r="G19" i="5" s="1"/>
  <c r="G7" i="6" s="1"/>
  <c r="F8" i="5"/>
  <c r="F19" i="5" s="1"/>
  <c r="F7" i="6" s="1"/>
  <c r="E8" i="5"/>
  <c r="D8" i="5"/>
  <c r="D19" i="5" s="1"/>
  <c r="D7" i="6" s="1"/>
  <c r="C8" i="5"/>
  <c r="L8" i="5" s="1"/>
  <c r="L7" i="5"/>
  <c r="L6" i="5"/>
  <c r="L5" i="5"/>
  <c r="L4" i="5"/>
  <c r="J19" i="4"/>
  <c r="I19" i="4"/>
  <c r="H19" i="4"/>
  <c r="G19" i="4"/>
  <c r="G6" i="6" s="1"/>
  <c r="K18" i="4"/>
  <c r="J18" i="4"/>
  <c r="I18" i="4"/>
  <c r="H18" i="4"/>
  <c r="G18" i="4"/>
  <c r="F18" i="4"/>
  <c r="E18" i="4"/>
  <c r="D18" i="4"/>
  <c r="C18" i="4"/>
  <c r="L18" i="4" s="1"/>
  <c r="L17" i="4"/>
  <c r="L16" i="4"/>
  <c r="K14" i="4"/>
  <c r="J14" i="4"/>
  <c r="I14" i="4"/>
  <c r="H14" i="4"/>
  <c r="G14" i="4"/>
  <c r="F14" i="4"/>
  <c r="E14" i="4"/>
  <c r="D14" i="4"/>
  <c r="C14" i="4"/>
  <c r="L14" i="4" s="1"/>
  <c r="L13" i="4"/>
  <c r="L12" i="4"/>
  <c r="L11" i="4"/>
  <c r="L10" i="4"/>
  <c r="K8" i="4"/>
  <c r="K19" i="4" s="1"/>
  <c r="J8" i="4"/>
  <c r="I8" i="4"/>
  <c r="H8" i="4"/>
  <c r="G8" i="4"/>
  <c r="F8" i="4"/>
  <c r="F19" i="4" s="1"/>
  <c r="F6" i="6" s="1"/>
  <c r="E8" i="4"/>
  <c r="E19" i="4" s="1"/>
  <c r="E6" i="6" s="1"/>
  <c r="D8" i="4"/>
  <c r="D19" i="4" s="1"/>
  <c r="D6" i="6" s="1"/>
  <c r="C8" i="4"/>
  <c r="L8" i="4" s="1"/>
  <c r="L7" i="4"/>
  <c r="L6" i="4"/>
  <c r="L5" i="4"/>
  <c r="L4" i="4"/>
  <c r="K17" i="3"/>
  <c r="J17" i="3"/>
  <c r="I17" i="3"/>
  <c r="H17" i="3"/>
  <c r="G17" i="3"/>
  <c r="F17" i="3"/>
  <c r="E17" i="3"/>
  <c r="D17" i="3"/>
  <c r="C17" i="3"/>
  <c r="L17" i="3" s="1"/>
  <c r="L16" i="3"/>
  <c r="L15" i="3"/>
  <c r="K13" i="3"/>
  <c r="J13" i="3"/>
  <c r="I13" i="3"/>
  <c r="H13" i="3"/>
  <c r="G13" i="3"/>
  <c r="F13" i="3"/>
  <c r="E13" i="3"/>
  <c r="D13" i="3"/>
  <c r="C13" i="3"/>
  <c r="L13" i="3" s="1"/>
  <c r="L12" i="3"/>
  <c r="L11" i="3"/>
  <c r="L10" i="3"/>
  <c r="L9" i="3"/>
  <c r="K7" i="3"/>
  <c r="K18" i="3" s="1"/>
  <c r="K5" i="6" s="1"/>
  <c r="J7" i="3"/>
  <c r="J18" i="3" s="1"/>
  <c r="J5" i="6" s="1"/>
  <c r="I7" i="3"/>
  <c r="I18" i="3" s="1"/>
  <c r="I5" i="6" s="1"/>
  <c r="H7" i="3"/>
  <c r="L7" i="3" s="1"/>
  <c r="G7" i="3"/>
  <c r="G18" i="3" s="1"/>
  <c r="G5" i="6" s="1"/>
  <c r="F7" i="3"/>
  <c r="F18" i="3" s="1"/>
  <c r="F5" i="6" s="1"/>
  <c r="E7" i="3"/>
  <c r="E18" i="3" s="1"/>
  <c r="E5" i="6" s="1"/>
  <c r="D7" i="3"/>
  <c r="D18" i="3" s="1"/>
  <c r="D5" i="6" s="1"/>
  <c r="C7" i="3"/>
  <c r="C18" i="3" s="1"/>
  <c r="L6" i="3"/>
  <c r="L5" i="3"/>
  <c r="L4" i="3"/>
  <c r="K19" i="2"/>
  <c r="K4" i="6" s="1"/>
  <c r="J19" i="2"/>
  <c r="J4" i="6" s="1"/>
  <c r="I19" i="2"/>
  <c r="I4" i="6" s="1"/>
  <c r="F19" i="2"/>
  <c r="K18" i="2"/>
  <c r="J18" i="2"/>
  <c r="I18" i="2"/>
  <c r="H18" i="2"/>
  <c r="G18" i="2"/>
  <c r="G19" i="2" s="1"/>
  <c r="G4" i="6" s="1"/>
  <c r="F18" i="2"/>
  <c r="E18" i="2"/>
  <c r="D18" i="2"/>
  <c r="D19" i="2" s="1"/>
  <c r="D4" i="6" s="1"/>
  <c r="D8" i="6" s="1"/>
  <c r="C18" i="2"/>
  <c r="L17" i="2"/>
  <c r="L16" i="2"/>
  <c r="L15" i="2"/>
  <c r="K13" i="2"/>
  <c r="J13" i="2"/>
  <c r="I13" i="2"/>
  <c r="H13" i="2"/>
  <c r="L13" i="2" s="1"/>
  <c r="G13" i="2"/>
  <c r="F13" i="2"/>
  <c r="E13" i="2"/>
  <c r="D13" i="2"/>
  <c r="C13" i="2"/>
  <c r="L12" i="2"/>
  <c r="L11" i="2"/>
  <c r="K9" i="2"/>
  <c r="J9" i="2"/>
  <c r="I9" i="2"/>
  <c r="H9" i="2"/>
  <c r="H19" i="2" s="1"/>
  <c r="H4" i="6" s="1"/>
  <c r="G9" i="2"/>
  <c r="F9" i="2"/>
  <c r="E9" i="2"/>
  <c r="E19" i="2" s="1"/>
  <c r="E4" i="6" s="1"/>
  <c r="E8" i="6" s="1"/>
  <c r="D9" i="2"/>
  <c r="C9" i="2"/>
  <c r="C19" i="2" s="1"/>
  <c r="L8" i="2"/>
  <c r="L7" i="2"/>
  <c r="L6" i="2"/>
  <c r="L5" i="2"/>
  <c r="L4" i="2"/>
  <c r="K8" i="6" l="1"/>
  <c r="C5" i="6"/>
  <c r="L18" i="3"/>
  <c r="D5" i="7" s="1"/>
  <c r="C4" i="6"/>
  <c r="L19" i="2"/>
  <c r="F8" i="6"/>
  <c r="G8" i="6"/>
  <c r="H8" i="6"/>
  <c r="I8" i="6"/>
  <c r="J8" i="6"/>
  <c r="L9" i="2"/>
  <c r="C19" i="4"/>
  <c r="C19" i="5"/>
  <c r="H18" i="3"/>
  <c r="H5" i="6" s="1"/>
  <c r="L18" i="2"/>
  <c r="L19" i="5" l="1"/>
  <c r="D7" i="7" s="1"/>
  <c r="C7" i="6"/>
  <c r="L7" i="6" s="1"/>
  <c r="D4" i="7"/>
  <c r="C6" i="6"/>
  <c r="L6" i="6" s="1"/>
  <c r="L19" i="4"/>
  <c r="D6" i="7" s="1"/>
  <c r="L4" i="6"/>
  <c r="C8" i="6"/>
  <c r="L8" i="6" s="1"/>
  <c r="C9" i="7" s="1"/>
  <c r="L5" i="6"/>
  <c r="C5" i="7" l="1"/>
  <c r="E5" i="7" s="1"/>
  <c r="F5" i="7" s="1"/>
  <c r="M5" i="6"/>
  <c r="M4" i="6"/>
  <c r="C4" i="7"/>
  <c r="E4" i="7" s="1"/>
  <c r="F4" i="7" s="1"/>
  <c r="M6" i="6"/>
  <c r="C6" i="7"/>
  <c r="E6" i="7" s="1"/>
  <c r="F6" i="7" s="1"/>
  <c r="D9" i="7"/>
  <c r="E9" i="7" s="1"/>
  <c r="F9" i="7" s="1"/>
  <c r="M7" i="6"/>
  <c r="C7" i="7"/>
  <c r="E7" i="7" s="1"/>
  <c r="F7" i="7" s="1"/>
</calcChain>
</file>

<file path=xl/sharedStrings.xml><?xml version="1.0" encoding="utf-8"?>
<sst xmlns="http://schemas.openxmlformats.org/spreadsheetml/2006/main" count="314" uniqueCount="182">
  <si>
    <t>PARAMÈTRES DE REPORTING — Consolidation mensuelle charges</t>
  </si>
  <si>
    <t>Modifier uniquement les cellules en BLEU. Le reste du fichier se met à jour automatiquement.</t>
  </si>
  <si>
    <t>Année de reporting</t>
  </si>
  <si>
    <t>Exercice couvert par ce fichier</t>
  </si>
  <si>
    <t>Mois en cours (n°)</t>
  </si>
  <si>
    <t>Ex : 10 = Octobre (mise à jour en cours)</t>
  </si>
  <si>
    <t>Dernier mois clôturé</t>
  </si>
  <si>
    <t>Septembre 2024</t>
  </si>
  <si>
    <t>Libellé du dernier mois validé</t>
  </si>
  <si>
    <t>Contrôleur de gestion</t>
  </si>
  <si>
    <t>Johan</t>
  </si>
  <si>
    <t>Responsable de la mise à jour</t>
  </si>
  <si>
    <t>Email VP Finance</t>
  </si>
  <si>
    <t>vpfinance@cybelangel.com</t>
  </si>
  <si>
    <t>Destinataire du rapport mensuel</t>
  </si>
  <si>
    <t>Seuil alerte écart (k€)</t>
  </si>
  <si>
    <t>Tolérance max entre Synthèse et onglets sources</t>
  </si>
  <si>
    <t>LÉGENDE DES COULEURS (norme financière)</t>
  </si>
  <si>
    <t>■</t>
  </si>
  <si>
    <t>BLEU — Saisie manuelle / input utilisateur (données Sage)</t>
  </si>
  <si>
    <t>NOIR — Formule de calcul automatique</t>
  </si>
  <si>
    <t>VERT — Lien vers un autre onglet (cross-sheet)</t>
  </si>
  <si>
    <t>ORANGE — Zone d'alerte / contrôle à vérifier</t>
  </si>
  <si>
    <t>Charges — RH  |  Jan–Sep 2024  (k€)  ⚡ Version automatisée</t>
  </si>
  <si>
    <t>Poste de charge</t>
  </si>
  <si>
    <t>Catégorie</t>
  </si>
  <si>
    <t>Jan 2024</t>
  </si>
  <si>
    <t>Fév 2024</t>
  </si>
  <si>
    <t>Mar 2024</t>
  </si>
  <si>
    <t>Avr 2024</t>
  </si>
  <si>
    <t>Mai 2024</t>
  </si>
  <si>
    <t>Jun 2024</t>
  </si>
  <si>
    <t>Jul 2024</t>
  </si>
  <si>
    <t>Aoû 2024</t>
  </si>
  <si>
    <t>Sep 2024</t>
  </si>
  <si>
    <t>Total YTD</t>
  </si>
  <si>
    <t xml:space="preserve">  Salaires &amp; charges sociales</t>
  </si>
  <si>
    <t>Salaires fixes — tech &amp; produit</t>
  </si>
  <si>
    <t>Salaires &amp; charges sociales</t>
  </si>
  <si>
    <t>Salaires fixes — sales &amp; marketing</t>
  </si>
  <si>
    <t>Salaires fixes — G&amp;A</t>
  </si>
  <si>
    <t>Charges patronales</t>
  </si>
  <si>
    <t>Primes variables — sales</t>
  </si>
  <si>
    <t>Sous-total Salaires &amp; charges sociales</t>
  </si>
  <si>
    <t xml:space="preserve">  Recrutement &amp; formation</t>
  </si>
  <si>
    <t>Frais de recrutement (cabinets)</t>
  </si>
  <si>
    <t>Recrutement &amp; formation</t>
  </si>
  <si>
    <t>Formations &amp; certifications</t>
  </si>
  <si>
    <t>Sous-total Recrutement &amp; formation</t>
  </si>
  <si>
    <t xml:space="preserve">  Autres charges RH</t>
  </si>
  <si>
    <t>Tickets restaurant &amp; avantages</t>
  </si>
  <si>
    <t>Autres charges RH</t>
  </si>
  <si>
    <t>Médecine du travail &amp; mutuelle</t>
  </si>
  <si>
    <t>Licences outils RH (ATS, HRIS)</t>
  </si>
  <si>
    <t>Sous-total Autres charges RH</t>
  </si>
  <si>
    <t>TOTAL RH</t>
  </si>
  <si>
    <t>⚡ ZONE D'IMPORT AUTOMATIQUE — RH — Coller ici l'export Sage (CSV mensuel)</t>
  </si>
  <si>
    <t>→ Coller ici l'export CSV RH depuis Sage (une colonne par mois). Power Automate dépose ce tableau automatiquement à partir du mois prochain.</t>
  </si>
  <si>
    <t>CTRL</t>
  </si>
  <si>
    <t>Charges — Tech  |  Jan–Sep 2024  (k€)  ⚡ Version automatisée</t>
  </si>
  <si>
    <t xml:space="preserve">  Infrastructure &amp; cloud</t>
  </si>
  <si>
    <t>AWS / Azure — prod</t>
  </si>
  <si>
    <t>Infrastructure &amp; cloud</t>
  </si>
  <si>
    <t>AWS / Azure — dev &amp; staging</t>
  </si>
  <si>
    <t>CDN &amp; sécurité infra</t>
  </si>
  <si>
    <t>Sous-total Infrastructure &amp; cloud</t>
  </si>
  <si>
    <t xml:space="preserve">  Licences &amp; SaaS Tech</t>
  </si>
  <si>
    <t>GitHub / GitLab</t>
  </si>
  <si>
    <t>Licences &amp; SaaS Tech</t>
  </si>
  <si>
    <t>Datadog / monitoring</t>
  </si>
  <si>
    <t>Licences data / enrichissement</t>
  </si>
  <si>
    <t>Outils IA &amp; LLM (API)</t>
  </si>
  <si>
    <t>Sous-total Licences &amp; SaaS Tech</t>
  </si>
  <si>
    <t xml:space="preserve">  Prestataires &amp; sous-traitance</t>
  </si>
  <si>
    <t>Développeurs freelance</t>
  </si>
  <si>
    <t>Prestataires &amp; sous-traitance</t>
  </si>
  <si>
    <t>Pentest &amp; audits sécu</t>
  </si>
  <si>
    <t>Sous-total Prestataires &amp; sous-traitance</t>
  </si>
  <si>
    <t>TOTAL Tech</t>
  </si>
  <si>
    <t>⚡ ZONE D'IMPORT AUTOMATIQUE — Tech — Coller ici l'export Sage (CSV mensuel)</t>
  </si>
  <si>
    <t>→ Coller ici l'export CSV Tech depuis Sage. Inclut AWS (facture directe), licences SaaS, et PO prestataires.</t>
  </si>
  <si>
    <t>Charges — S&amp;M  |  Jan–Sep 2024  (k€)  ⚡ Version automatisée</t>
  </si>
  <si>
    <t xml:space="preserve">  Marketing</t>
  </si>
  <si>
    <t>Événements &amp; salons</t>
  </si>
  <si>
    <t>Marketing</t>
  </si>
  <si>
    <t>Digital marketing &amp; SEO</t>
  </si>
  <si>
    <t>Contenu &amp; production créa</t>
  </si>
  <si>
    <t>Relations presse &amp; RP</t>
  </si>
  <si>
    <t>Sous-total Marketing</t>
  </si>
  <si>
    <t xml:space="preserve">  Sales</t>
  </si>
  <si>
    <t>Commissions &amp; incentives</t>
  </si>
  <si>
    <t>Sales</t>
  </si>
  <si>
    <t>Déplacements commerciaux</t>
  </si>
  <si>
    <t>CRM &amp; sales tools (SF, Outreach…)</t>
  </si>
  <si>
    <t>SDR — data enrichment tools</t>
  </si>
  <si>
    <t>Sous-total Sales</t>
  </si>
  <si>
    <t xml:space="preserve">  Customer Success</t>
  </si>
  <si>
    <t>CS tools &amp; plateformes</t>
  </si>
  <si>
    <t>Customer Success</t>
  </si>
  <si>
    <t>Formation clients &amp; onboarding</t>
  </si>
  <si>
    <t>Sous-total Customer Success</t>
  </si>
  <si>
    <t>TOTAL S&amp;M</t>
  </si>
  <si>
    <t>⚡ ZONE D'IMPORT AUTOMATIQUE — S&amp;M — Coller ici l'export Sage (CSV mensuel)</t>
  </si>
  <si>
    <t>→ Coller ici l'export CSV S&amp;M depuis Sage. Commissions issues de Salesforce (réconcilier avec ADP).</t>
  </si>
  <si>
    <t>Charges — G&amp;A  |  Jan–Sep 2024  (k€)  ⚡ Version automatisée</t>
  </si>
  <si>
    <t xml:space="preserve">  Frais généraux</t>
  </si>
  <si>
    <t>Loyer &amp; charges locatives</t>
  </si>
  <si>
    <t>Frais généraux</t>
  </si>
  <si>
    <t>Téléphonie &amp; internet</t>
  </si>
  <si>
    <t>Fournitures &amp; petits équipements</t>
  </si>
  <si>
    <t>Charges locatives refacturées</t>
  </si>
  <si>
    <t>Sous-total Frais généraux</t>
  </si>
  <si>
    <t xml:space="preserve">  Juridique &amp; finance</t>
  </si>
  <si>
    <t>Honoraires avocats</t>
  </si>
  <si>
    <t>Juridique &amp; finance</t>
  </si>
  <si>
    <t>Audit &amp; commissariat aux comptes</t>
  </si>
  <si>
    <t>Banque &amp; frais financiers</t>
  </si>
  <si>
    <t>Assurances</t>
  </si>
  <si>
    <t>Sous-total Juridique &amp; finance</t>
  </si>
  <si>
    <t xml:space="preserve">  IT G&amp;A</t>
  </si>
  <si>
    <t>Licences Microsoft 365</t>
  </si>
  <si>
    <t>IT G&amp;A</t>
  </si>
  <si>
    <t>Licences Slack, Notion, Figma…</t>
  </si>
  <si>
    <t>Sous-total IT G&amp;A</t>
  </si>
  <si>
    <t>TOTAL G&amp;A</t>
  </si>
  <si>
    <t>⚡ ZONE D'IMPORT AUTOMATIQUE — G&amp;A — Coller ici l'export Sage (CSV mensuel)</t>
  </si>
  <si>
    <t>→ Coller ici l'export CSV G&amp;A depuis Sage. Honoraires avocats et audit : vérifier factures ponctuelles.</t>
  </si>
  <si>
    <t>✅ SYNTHÈSE CHARGES — Jan–Sep 2024  |  100% formules — mise à jour automatique  (k€)</t>
  </si>
  <si>
    <t>Les valeurs ci-dessous sont liées par formule aux onglets sources. Toute modification dans RH / Tech / S&amp;M / G&amp;A est répercutée instantanément.</t>
  </si>
  <si>
    <t>Département</t>
  </si>
  <si>
    <t>% du total</t>
  </si>
  <si>
    <t>RH</t>
  </si>
  <si>
    <t>Total RH</t>
  </si>
  <si>
    <t>Tech</t>
  </si>
  <si>
    <t>Total Tech</t>
  </si>
  <si>
    <t>S&amp;M</t>
  </si>
  <si>
    <t>Total S&amp;M</t>
  </si>
  <si>
    <t>G&amp;A</t>
  </si>
  <si>
    <t>Total G&amp;A</t>
  </si>
  <si>
    <t>TOTAL CHARGES</t>
  </si>
  <si>
    <t>100.0%</t>
  </si>
  <si>
    <t>Si une cellule affiche ⚠ ÉCART, corriger l'onglet source avant d'envoyer le rapport.</t>
  </si>
  <si>
    <t>Contrôle</t>
  </si>
  <si>
    <t>Valeur Synthèse</t>
  </si>
  <si>
    <t>Valeur Onglet source</t>
  </si>
  <si>
    <t>Écart (k€)</t>
  </si>
  <si>
    <t>Statut</t>
  </si>
  <si>
    <t>Total YTD = Synthèse YTD</t>
  </si>
  <si>
    <t>GLOBAL — Total charges</t>
  </si>
  <si>
    <t>CHECKLIST MENSUELLE — À vérifier avant envoi au VP Finance</t>
  </si>
  <si>
    <t>□  Tous les onglets sources mis à jour avec l'export Sage du mois</t>
  </si>
  <si>
    <t>□  Cellule G9 (statut global) affiche ✅ FICHIER VALIDÉ</t>
  </si>
  <si>
    <t>□  Charges patronales ADP vérifiées dans onglet RH (ligne 7)</t>
  </si>
  <si>
    <t>□  Export PDF généré via Fichier → Exporter (ou Power Automate si configuré)</t>
  </si>
  <si>
    <t>□  Email envoyé au VP Finance avec PDF en pièce jointe</t>
  </si>
  <si>
    <t>PROCESSUS DE CONSOLIDATION MENSUELLE — VERSION AUTOMATISÉE</t>
  </si>
  <si>
    <t>AVANT (2h / mois — état initial)</t>
  </si>
  <si>
    <t xml:space="preserve">   1. Récupérer les exports Sage manuellement (PDF ou écran)               ~10 min</t>
  </si>
  <si>
    <t xml:space="preserve">   2. Re-saisir colonne par colonne dans 4 onglets                         ~45 min</t>
  </si>
  <si>
    <t xml:space="preserve">   3. Copier les totaux EN VALEUR dans Synthèse (désynchro possible)       ~30 min</t>
  </si>
  <si>
    <t xml:space="preserve">   4. Vérifier à la main la cohérence (pas de formule de contrôle)         ~30 min</t>
  </si>
  <si>
    <t xml:space="preserve">   5. Exporter PDF et envoyer par email                                    ~15 min</t>
  </si>
  <si>
    <t xml:space="preserve">   TOTAL                                                                   ~2h</t>
  </si>
  <si>
    <t>APRÈS — Quick wins Excel (15 min / mois)</t>
  </si>
  <si>
    <t xml:space="preserve">   1. Ouvrir le fichier et coller l'export Sage dans les zones Import       ~5 min</t>
  </si>
  <si>
    <t xml:space="preserve">   2. Vérifier l'onglet 🔍 Contrôles (statut global = ✅ FICHIER VALIDÉ)    ~3 min</t>
  </si>
  <si>
    <t xml:space="preserve">   3. Exporter PDF et envoyer (ou automatique via Power Automate)           ~2 min</t>
  </si>
  <si>
    <t xml:space="preserve">   4. Archiver le fichier (OneDrive / SharePoint versionné)                 ~5 min</t>
  </si>
  <si>
    <t xml:space="preserve">   TOTAL                                                                   ~15 min</t>
  </si>
  <si>
    <t>VISION CIBLE — Automatisation complète (5 min / mois)</t>
  </si>
  <si>
    <t xml:space="preserve">   1. Power Automate déclenche export Sage en début de mois                 auto</t>
  </si>
  <si>
    <t xml:space="preserve">   2. Script Python transforme CSV Sage → format onglets sources            auto</t>
  </si>
  <si>
    <t xml:space="preserve">   3. Fichier se met à jour, contrôles passent au vert                      auto</t>
  </si>
  <si>
    <t xml:space="preserve">   4. Power Automate génère PDF et envoie email au VP Finance               auto</t>
  </si>
  <si>
    <t xml:space="preserve">   5. Contrôleur valide en 5 min sur mobile (approbation Teams/email)       ~5 min</t>
  </si>
  <si>
    <t xml:space="preserve">   TOTAL                                                                    ~5 min</t>
  </si>
  <si>
    <t>POINTS DE VIGILANCE RÉSIDUELS</t>
  </si>
  <si>
    <t xml:space="preserve">   ⚠  Charges patronales (RH ligne 7) : à valider avec RRH chaque mois via ADP</t>
  </si>
  <si>
    <t xml:space="preserve">   ⚠  Primes variables Sales : réconcilier avec Salesforce avant clôture</t>
  </si>
  <si>
    <t xml:space="preserve">   ⚠  Prestataires ponctuels : vérifier PO si montant &gt; 0 en cours de mois</t>
  </si>
  <si>
    <t xml:space="preserve">   ⚠  Audit &amp; honoraires : ligne G&amp;A uniquement sur facture reçue et validée</t>
  </si>
  <si>
    <t xml:space="preserve"> CONTRÔLES AUTOMATIQUES — Cohérence Synthèse ↔ Onglets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</si>
</sst>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5F5E5A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8000"/>
      <name val="Arial"/>
      <charset val="1"/>
    </font>
    <font>
      <b/>
      <sz val="10"/>
      <color rgb="FFFF8000"/>
      <name val="Arial"/>
      <charset val="1"/>
    </font>
    <font>
      <b/>
      <sz val="11"/>
      <color rgb="FFFFFFFF"/>
      <name val="Arial"/>
      <charset val="1"/>
    </font>
    <font>
      <b/>
      <i/>
      <sz val="10"/>
      <color rgb="FF042C53"/>
      <name val="Arial"/>
      <charset val="1"/>
    </font>
    <font>
      <b/>
      <sz val="10"/>
      <color rgb="FF2C2C2A"/>
      <name val="Arial"/>
      <charset val="1"/>
    </font>
    <font>
      <b/>
      <sz val="10"/>
      <color rgb="FF412402"/>
      <name val="Arial"/>
      <charset val="1"/>
    </font>
    <font>
      <b/>
      <sz val="9"/>
      <color rgb="FFFFFFFF"/>
      <name val="Arial"/>
      <charset val="1"/>
    </font>
    <font>
      <sz val="10"/>
      <color rgb="FF008000"/>
      <name val="Arial"/>
      <charset val="1"/>
    </font>
    <font>
      <i/>
      <sz val="9"/>
      <color rgb="FF501313"/>
      <name val="Arial"/>
      <charset val="1"/>
    </font>
    <font>
      <sz val="9"/>
      <color rgb="FF00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42C53"/>
        <bgColor rgb="FF2C2C2A"/>
      </patternFill>
    </fill>
    <fill>
      <patternFill patternType="solid">
        <fgColor rgb="FFE1F5EE"/>
        <bgColor rgb="FFE6F1FB"/>
      </patternFill>
    </fill>
    <fill>
      <patternFill patternType="solid">
        <fgColor rgb="FF2C2C2A"/>
        <bgColor rgb="FF412402"/>
      </patternFill>
    </fill>
    <fill>
      <patternFill patternType="solid">
        <fgColor rgb="FFE6F1FB"/>
        <bgColor rgb="FFE1F5EE"/>
      </patternFill>
    </fill>
    <fill>
      <patternFill patternType="solid">
        <fgColor rgb="FFD3D1C7"/>
        <bgColor rgb="FFCCCCFF"/>
      </patternFill>
    </fill>
    <fill>
      <patternFill patternType="solid">
        <fgColor rgb="FF888780"/>
        <bgColor rgb="FF969696"/>
      </patternFill>
    </fill>
    <fill>
      <patternFill patternType="solid">
        <fgColor rgb="FFFAEEDA"/>
        <bgColor rgb="FFFCEBEB"/>
      </patternFill>
    </fill>
    <fill>
      <patternFill patternType="solid">
        <fgColor rgb="FF5F5E5A"/>
        <bgColor rgb="FF854F0B"/>
      </patternFill>
    </fill>
    <fill>
      <patternFill patternType="solid">
        <fgColor rgb="FF1D9E75"/>
        <bgColor rgb="FF008080"/>
      </patternFill>
    </fill>
    <fill>
      <patternFill patternType="solid">
        <fgColor rgb="FFA32D2D"/>
        <bgColor rgb="FF993556"/>
      </patternFill>
    </fill>
    <fill>
      <patternFill patternType="solid">
        <fgColor rgb="FFFCEBEB"/>
        <bgColor rgb="FFFAEEDA"/>
      </patternFill>
    </fill>
    <fill>
      <patternFill patternType="solid">
        <fgColor rgb="FFEAF3DE"/>
        <bgColor rgb="FF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13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0" fillId="11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0" fillId="10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3" fontId="3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3" fontId="10" fillId="7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3" fontId="5" fillId="7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01313"/>
      <rgbColor rgb="FF008000"/>
      <rgbColor rgb="FF000080"/>
      <rgbColor rgb="FF854F0B"/>
      <rgbColor rgb="FF800080"/>
      <rgbColor rgb="FF0F6E56"/>
      <rgbColor rgb="FFD3D1C7"/>
      <rgbColor rgb="FF888780"/>
      <rgbColor rgb="FF9999FF"/>
      <rgbColor rgb="FF993556"/>
      <rgbColor rgb="FFFAEEDA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CEBEB"/>
      <rgbColor rgb="FF99CCFF"/>
      <rgbColor rgb="FFFF99CC"/>
      <rgbColor rgb="FFCC99FF"/>
      <rgbColor rgb="FFFFCC99"/>
      <rgbColor rgb="FF3B8BD4"/>
      <rgbColor rgb="FF33CCCC"/>
      <rgbColor rgb="FF99CC00"/>
      <rgbColor rgb="FFFFCC00"/>
      <rgbColor rgb="FFFF8000"/>
      <rgbColor rgb="FFE24B4A"/>
      <rgbColor rgb="FF5F5E5A"/>
      <rgbColor rgb="FF969696"/>
      <rgbColor rgb="FF042C53"/>
      <rgbColor rgb="FF1D9E75"/>
      <rgbColor rgb="FF003300"/>
      <rgbColor rgb="FF412402"/>
      <rgbColor rgb="FFA32D2D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9E75"/>
  </sheetPr>
  <dimension ref="A1:C16"/>
  <sheetViews>
    <sheetView zoomScaleNormal="100" workbookViewId="0">
      <selection sqref="A1:C1"/>
    </sheetView>
  </sheetViews>
  <sheetFormatPr baseColWidth="10" defaultColWidth="8.6640625" defaultRowHeight="14.25" x14ac:dyDescent="0.45"/>
  <cols>
    <col min="1" max="1" width="32" customWidth="1"/>
    <col min="2" max="2" width="24" customWidth="1"/>
    <col min="3" max="3" width="48" customWidth="1"/>
  </cols>
  <sheetData>
    <row r="1" spans="1:3" ht="25.5" customHeight="1" x14ac:dyDescent="0.45">
      <c r="A1" s="14" t="s">
        <v>0</v>
      </c>
      <c r="B1" s="14"/>
      <c r="C1" s="14"/>
    </row>
    <row r="2" spans="1:3" ht="13.5" customHeight="1" x14ac:dyDescent="0.45">
      <c r="A2" s="13" t="s">
        <v>1</v>
      </c>
      <c r="B2" s="13"/>
      <c r="C2" s="13"/>
    </row>
    <row r="4" spans="1:3" ht="18" customHeight="1" x14ac:dyDescent="0.45">
      <c r="A4" s="16" t="s">
        <v>2</v>
      </c>
      <c r="B4" s="17">
        <v>2024</v>
      </c>
      <c r="C4" s="15" t="s">
        <v>3</v>
      </c>
    </row>
    <row r="5" spans="1:3" ht="18" customHeight="1" x14ac:dyDescent="0.45">
      <c r="A5" s="16" t="s">
        <v>4</v>
      </c>
      <c r="B5" s="17">
        <v>10</v>
      </c>
      <c r="C5" s="15" t="s">
        <v>5</v>
      </c>
    </row>
    <row r="6" spans="1:3" ht="18" customHeight="1" x14ac:dyDescent="0.45">
      <c r="A6" s="16" t="s">
        <v>6</v>
      </c>
      <c r="B6" s="18" t="s">
        <v>7</v>
      </c>
      <c r="C6" s="15" t="s">
        <v>8</v>
      </c>
    </row>
    <row r="7" spans="1:3" ht="18" customHeight="1" x14ac:dyDescent="0.45">
      <c r="A7" s="16" t="s">
        <v>9</v>
      </c>
      <c r="B7" s="18" t="s">
        <v>10</v>
      </c>
      <c r="C7" s="15" t="s">
        <v>11</v>
      </c>
    </row>
    <row r="8" spans="1:3" ht="18" customHeight="1" x14ac:dyDescent="0.45">
      <c r="A8" s="16" t="s">
        <v>12</v>
      </c>
      <c r="B8" s="18" t="s">
        <v>13</v>
      </c>
      <c r="C8" s="15" t="s">
        <v>14</v>
      </c>
    </row>
    <row r="9" spans="1:3" ht="18" customHeight="1" x14ac:dyDescent="0.45">
      <c r="A9" s="16" t="s">
        <v>15</v>
      </c>
      <c r="B9" s="17">
        <v>1</v>
      </c>
      <c r="C9" s="15" t="s">
        <v>16</v>
      </c>
    </row>
    <row r="12" spans="1:3" ht="15" customHeight="1" x14ac:dyDescent="0.45">
      <c r="A12" s="12" t="s">
        <v>17</v>
      </c>
      <c r="B12" s="12"/>
      <c r="C12" s="12"/>
    </row>
    <row r="13" spans="1:3" ht="15.75" customHeight="1" x14ac:dyDescent="0.45">
      <c r="A13" s="20" t="s">
        <v>18</v>
      </c>
      <c r="B13" s="11" t="s">
        <v>19</v>
      </c>
      <c r="C13" s="11"/>
    </row>
    <row r="14" spans="1:3" ht="15.75" customHeight="1" x14ac:dyDescent="0.45">
      <c r="A14" s="21" t="s">
        <v>18</v>
      </c>
      <c r="B14" s="11" t="s">
        <v>20</v>
      </c>
      <c r="C14" s="11"/>
    </row>
    <row r="15" spans="1:3" ht="15.75" customHeight="1" x14ac:dyDescent="0.45">
      <c r="A15" s="22" t="s">
        <v>18</v>
      </c>
      <c r="B15" s="11" t="s">
        <v>21</v>
      </c>
      <c r="C15" s="11"/>
    </row>
    <row r="16" spans="1:3" ht="15.75" customHeight="1" x14ac:dyDescent="0.45">
      <c r="A16" s="23" t="s">
        <v>18</v>
      </c>
      <c r="B16" s="11" t="s">
        <v>22</v>
      </c>
      <c r="C16" s="11"/>
    </row>
  </sheetData>
  <mergeCells count="7">
    <mergeCell ref="B15:C15"/>
    <mergeCell ref="B16:C16"/>
    <mergeCell ref="A1:C1"/>
    <mergeCell ref="A2:C2"/>
    <mergeCell ref="A12:C12"/>
    <mergeCell ref="B13:C13"/>
    <mergeCell ref="B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BD4"/>
  </sheetPr>
  <dimension ref="A1:L2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L1"/>
    </sheetView>
  </sheetViews>
  <sheetFormatPr baseColWidth="10" defaultColWidth="8.6640625" defaultRowHeight="14.25" x14ac:dyDescent="0.45"/>
  <cols>
    <col min="1" max="1" width="40" customWidth="1"/>
    <col min="2" max="2" width="28" customWidth="1"/>
    <col min="3" max="11" width="9" customWidth="1"/>
    <col min="12" max="12" width="11" customWidth="1"/>
  </cols>
  <sheetData>
    <row r="1" spans="1:12" ht="21.75" customHeight="1" x14ac:dyDescent="0.45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customHeight="1" x14ac:dyDescent="0.45">
      <c r="A2" s="19" t="s">
        <v>24</v>
      </c>
      <c r="B2" s="19" t="s">
        <v>25</v>
      </c>
      <c r="C2" s="24" t="s">
        <v>26</v>
      </c>
      <c r="D2" s="24" t="s">
        <v>27</v>
      </c>
      <c r="E2" s="24" t="s">
        <v>28</v>
      </c>
      <c r="F2" s="24" t="s">
        <v>29</v>
      </c>
      <c r="G2" s="24" t="s">
        <v>30</v>
      </c>
      <c r="H2" s="24" t="s">
        <v>31</v>
      </c>
      <c r="I2" s="24" t="s">
        <v>32</v>
      </c>
      <c r="J2" s="24" t="s">
        <v>33</v>
      </c>
      <c r="K2" s="24" t="s">
        <v>34</v>
      </c>
      <c r="L2" s="24" t="s">
        <v>35</v>
      </c>
    </row>
    <row r="3" spans="1:12" ht="15.75" customHeight="1" x14ac:dyDescent="0.45">
      <c r="A3" s="9" t="s">
        <v>36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5" customHeight="1" x14ac:dyDescent="0.45">
      <c r="A4" s="25" t="s">
        <v>37</v>
      </c>
      <c r="B4" s="25" t="s">
        <v>38</v>
      </c>
      <c r="C4" s="17">
        <v>410</v>
      </c>
      <c r="D4" s="17">
        <v>410</v>
      </c>
      <c r="E4" s="17">
        <v>415</v>
      </c>
      <c r="F4" s="17">
        <v>415</v>
      </c>
      <c r="G4" s="17">
        <v>420</v>
      </c>
      <c r="H4" s="17">
        <v>420</v>
      </c>
      <c r="I4" s="17">
        <v>435</v>
      </c>
      <c r="J4" s="17">
        <v>435</v>
      </c>
      <c r="K4" s="17">
        <v>440</v>
      </c>
      <c r="L4" s="26">
        <f t="shared" ref="L4:L9" si="0">SUM(C4:K4)</f>
        <v>3800</v>
      </c>
    </row>
    <row r="5" spans="1:12" ht="15" customHeight="1" x14ac:dyDescent="0.45">
      <c r="A5" s="25" t="s">
        <v>39</v>
      </c>
      <c r="B5" s="25" t="s">
        <v>38</v>
      </c>
      <c r="C5" s="17">
        <v>185</v>
      </c>
      <c r="D5" s="17">
        <v>185</v>
      </c>
      <c r="E5" s="17">
        <v>188</v>
      </c>
      <c r="F5" s="17">
        <v>188</v>
      </c>
      <c r="G5" s="17">
        <v>192</v>
      </c>
      <c r="H5" s="17">
        <v>192</v>
      </c>
      <c r="I5" s="17">
        <v>198</v>
      </c>
      <c r="J5" s="17">
        <v>198</v>
      </c>
      <c r="K5" s="17">
        <v>200</v>
      </c>
      <c r="L5" s="26">
        <f t="shared" si="0"/>
        <v>1726</v>
      </c>
    </row>
    <row r="6" spans="1:12" ht="15" customHeight="1" x14ac:dyDescent="0.45">
      <c r="A6" s="25" t="s">
        <v>40</v>
      </c>
      <c r="B6" s="25" t="s">
        <v>38</v>
      </c>
      <c r="C6" s="17">
        <v>95</v>
      </c>
      <c r="D6" s="17">
        <v>95</v>
      </c>
      <c r="E6" s="17">
        <v>97</v>
      </c>
      <c r="F6" s="17">
        <v>97</v>
      </c>
      <c r="G6" s="17">
        <v>98</v>
      </c>
      <c r="H6" s="17">
        <v>98</v>
      </c>
      <c r="I6" s="17">
        <v>102</v>
      </c>
      <c r="J6" s="17">
        <v>102</v>
      </c>
      <c r="K6" s="17">
        <v>104</v>
      </c>
      <c r="L6" s="26">
        <f t="shared" si="0"/>
        <v>888</v>
      </c>
    </row>
    <row r="7" spans="1:12" ht="15" customHeight="1" x14ac:dyDescent="0.45">
      <c r="A7" s="25" t="s">
        <v>41</v>
      </c>
      <c r="B7" s="25" t="s">
        <v>38</v>
      </c>
      <c r="C7" s="17">
        <v>138</v>
      </c>
      <c r="D7" s="17">
        <v>138</v>
      </c>
      <c r="E7" s="17">
        <v>140</v>
      </c>
      <c r="F7" s="17">
        <v>140</v>
      </c>
      <c r="G7" s="17">
        <v>142</v>
      </c>
      <c r="H7" s="17">
        <v>142</v>
      </c>
      <c r="I7" s="17">
        <v>147</v>
      </c>
      <c r="J7" s="17">
        <v>147</v>
      </c>
      <c r="K7" s="17">
        <v>149</v>
      </c>
      <c r="L7" s="26">
        <f t="shared" si="0"/>
        <v>1283</v>
      </c>
    </row>
    <row r="8" spans="1:12" ht="15" customHeight="1" x14ac:dyDescent="0.45">
      <c r="A8" s="25" t="s">
        <v>42</v>
      </c>
      <c r="B8" s="25" t="s">
        <v>38</v>
      </c>
      <c r="C8" s="17">
        <v>18</v>
      </c>
      <c r="D8" s="17">
        <v>12</v>
      </c>
      <c r="E8" s="17">
        <v>22</v>
      </c>
      <c r="F8" s="17">
        <v>14</v>
      </c>
      <c r="G8" s="17">
        <v>25</v>
      </c>
      <c r="H8" s="17">
        <v>31</v>
      </c>
      <c r="I8" s="17">
        <v>19</v>
      </c>
      <c r="J8" s="17">
        <v>14</v>
      </c>
      <c r="K8" s="17">
        <v>28</v>
      </c>
      <c r="L8" s="26">
        <f t="shared" si="0"/>
        <v>183</v>
      </c>
    </row>
    <row r="9" spans="1:12" ht="15" customHeight="1" x14ac:dyDescent="0.45">
      <c r="A9" s="27" t="s">
        <v>43</v>
      </c>
      <c r="B9" s="28"/>
      <c r="C9" s="29">
        <f t="shared" ref="C9:K9" si="1">C4+C5+C6+C7+C8</f>
        <v>846</v>
      </c>
      <c r="D9" s="29">
        <f t="shared" si="1"/>
        <v>840</v>
      </c>
      <c r="E9" s="29">
        <f t="shared" si="1"/>
        <v>862</v>
      </c>
      <c r="F9" s="29">
        <f t="shared" si="1"/>
        <v>854</v>
      </c>
      <c r="G9" s="29">
        <f t="shared" si="1"/>
        <v>877</v>
      </c>
      <c r="H9" s="29">
        <f t="shared" si="1"/>
        <v>883</v>
      </c>
      <c r="I9" s="29">
        <f t="shared" si="1"/>
        <v>901</v>
      </c>
      <c r="J9" s="29">
        <f t="shared" si="1"/>
        <v>896</v>
      </c>
      <c r="K9" s="29">
        <f t="shared" si="1"/>
        <v>921</v>
      </c>
      <c r="L9" s="29">
        <f t="shared" si="0"/>
        <v>7880</v>
      </c>
    </row>
    <row r="10" spans="1:12" ht="15.75" customHeight="1" x14ac:dyDescent="0.45">
      <c r="A10" s="9" t="s">
        <v>44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15" customHeight="1" x14ac:dyDescent="0.45">
      <c r="A11" s="25" t="s">
        <v>45</v>
      </c>
      <c r="B11" s="25" t="s">
        <v>46</v>
      </c>
      <c r="C11" s="17">
        <v>8</v>
      </c>
      <c r="D11" s="17">
        <v>0</v>
      </c>
      <c r="E11" s="17">
        <v>12</v>
      </c>
      <c r="F11" s="17">
        <v>0</v>
      </c>
      <c r="G11" s="17">
        <v>15</v>
      </c>
      <c r="H11" s="17">
        <v>0</v>
      </c>
      <c r="I11" s="17">
        <v>8</v>
      </c>
      <c r="J11" s="17">
        <v>0</v>
      </c>
      <c r="K11" s="17">
        <v>12</v>
      </c>
      <c r="L11" s="26">
        <f>SUM(C11:K11)</f>
        <v>55</v>
      </c>
    </row>
    <row r="12" spans="1:12" ht="15" customHeight="1" x14ac:dyDescent="0.45">
      <c r="A12" s="25" t="s">
        <v>47</v>
      </c>
      <c r="B12" s="25" t="s">
        <v>46</v>
      </c>
      <c r="C12" s="17">
        <v>3</v>
      </c>
      <c r="D12" s="17">
        <v>3</v>
      </c>
      <c r="E12" s="17">
        <v>3</v>
      </c>
      <c r="F12" s="17">
        <v>3</v>
      </c>
      <c r="G12" s="17">
        <v>4</v>
      </c>
      <c r="H12" s="17">
        <v>4</v>
      </c>
      <c r="I12" s="17">
        <v>3</v>
      </c>
      <c r="J12" s="17">
        <v>3</v>
      </c>
      <c r="K12" s="17">
        <v>3</v>
      </c>
      <c r="L12" s="26">
        <f>SUM(C12:K12)</f>
        <v>29</v>
      </c>
    </row>
    <row r="13" spans="1:12" ht="15" customHeight="1" x14ac:dyDescent="0.45">
      <c r="A13" s="27" t="s">
        <v>48</v>
      </c>
      <c r="B13" s="28"/>
      <c r="C13" s="29">
        <f t="shared" ref="C13:K13" si="2">C11+C12</f>
        <v>11</v>
      </c>
      <c r="D13" s="29">
        <f t="shared" si="2"/>
        <v>3</v>
      </c>
      <c r="E13" s="29">
        <f t="shared" si="2"/>
        <v>15</v>
      </c>
      <c r="F13" s="29">
        <f t="shared" si="2"/>
        <v>3</v>
      </c>
      <c r="G13" s="29">
        <f t="shared" si="2"/>
        <v>19</v>
      </c>
      <c r="H13" s="29">
        <f t="shared" si="2"/>
        <v>4</v>
      </c>
      <c r="I13" s="29">
        <f t="shared" si="2"/>
        <v>11</v>
      </c>
      <c r="J13" s="29">
        <f t="shared" si="2"/>
        <v>3</v>
      </c>
      <c r="K13" s="29">
        <f t="shared" si="2"/>
        <v>15</v>
      </c>
      <c r="L13" s="29">
        <f>SUM(C13:K13)</f>
        <v>84</v>
      </c>
    </row>
    <row r="14" spans="1:12" ht="15.75" customHeight="1" x14ac:dyDescent="0.45">
      <c r="A14" s="9" t="s">
        <v>49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15" customHeight="1" x14ac:dyDescent="0.45">
      <c r="A15" s="25" t="s">
        <v>50</v>
      </c>
      <c r="B15" s="25" t="s">
        <v>51</v>
      </c>
      <c r="C15" s="17">
        <v>14</v>
      </c>
      <c r="D15" s="17">
        <v>14</v>
      </c>
      <c r="E15" s="17">
        <v>14</v>
      </c>
      <c r="F15" s="17">
        <v>14</v>
      </c>
      <c r="G15" s="17">
        <v>15</v>
      </c>
      <c r="H15" s="17">
        <v>15</v>
      </c>
      <c r="I15" s="17">
        <v>15</v>
      </c>
      <c r="J15" s="17">
        <v>15</v>
      </c>
      <c r="K15" s="17">
        <v>15</v>
      </c>
      <c r="L15" s="26">
        <f>SUM(C15:K15)</f>
        <v>131</v>
      </c>
    </row>
    <row r="16" spans="1:12" ht="15" customHeight="1" x14ac:dyDescent="0.45">
      <c r="A16" s="25" t="s">
        <v>52</v>
      </c>
      <c r="B16" s="25" t="s">
        <v>51</v>
      </c>
      <c r="C16" s="17">
        <v>8</v>
      </c>
      <c r="D16" s="17">
        <v>8</v>
      </c>
      <c r="E16" s="17">
        <v>8</v>
      </c>
      <c r="F16" s="17">
        <v>8</v>
      </c>
      <c r="G16" s="17">
        <v>8</v>
      </c>
      <c r="H16" s="17">
        <v>8</v>
      </c>
      <c r="I16" s="17">
        <v>8</v>
      </c>
      <c r="J16" s="17">
        <v>8</v>
      </c>
      <c r="K16" s="17">
        <v>8</v>
      </c>
      <c r="L16" s="26">
        <f>SUM(C16:K16)</f>
        <v>72</v>
      </c>
    </row>
    <row r="17" spans="1:12" ht="15" customHeight="1" x14ac:dyDescent="0.45">
      <c r="A17" s="25" t="s">
        <v>53</v>
      </c>
      <c r="B17" s="25" t="s">
        <v>51</v>
      </c>
      <c r="C17" s="17">
        <v>6</v>
      </c>
      <c r="D17" s="17">
        <v>6</v>
      </c>
      <c r="E17" s="17">
        <v>6</v>
      </c>
      <c r="F17" s="17">
        <v>6</v>
      </c>
      <c r="G17" s="17">
        <v>7</v>
      </c>
      <c r="H17" s="17">
        <v>7</v>
      </c>
      <c r="I17" s="17">
        <v>7</v>
      </c>
      <c r="J17" s="17">
        <v>7</v>
      </c>
      <c r="K17" s="17">
        <v>7</v>
      </c>
      <c r="L17" s="26">
        <f>SUM(C17:K17)</f>
        <v>59</v>
      </c>
    </row>
    <row r="18" spans="1:12" ht="15" customHeight="1" x14ac:dyDescent="0.45">
      <c r="A18" s="27" t="s">
        <v>54</v>
      </c>
      <c r="B18" s="28"/>
      <c r="C18" s="29">
        <f t="shared" ref="C18:K18" si="3">C15+C16+C17</f>
        <v>28</v>
      </c>
      <c r="D18" s="29">
        <f t="shared" si="3"/>
        <v>28</v>
      </c>
      <c r="E18" s="29">
        <f t="shared" si="3"/>
        <v>28</v>
      </c>
      <c r="F18" s="29">
        <f t="shared" si="3"/>
        <v>28</v>
      </c>
      <c r="G18" s="29">
        <f t="shared" si="3"/>
        <v>30</v>
      </c>
      <c r="H18" s="29">
        <f t="shared" si="3"/>
        <v>30</v>
      </c>
      <c r="I18" s="29">
        <f t="shared" si="3"/>
        <v>30</v>
      </c>
      <c r="J18" s="29">
        <f t="shared" si="3"/>
        <v>30</v>
      </c>
      <c r="K18" s="29">
        <f t="shared" si="3"/>
        <v>30</v>
      </c>
      <c r="L18" s="29">
        <f>SUM(C18:K18)</f>
        <v>262</v>
      </c>
    </row>
    <row r="19" spans="1:12" ht="19.5" customHeight="1" x14ac:dyDescent="0.45">
      <c r="A19" s="30" t="s">
        <v>55</v>
      </c>
      <c r="B19" s="31"/>
      <c r="C19" s="32">
        <f t="shared" ref="C19:K19" si="4">C9+C13+C18</f>
        <v>885</v>
      </c>
      <c r="D19" s="32">
        <f t="shared" si="4"/>
        <v>871</v>
      </c>
      <c r="E19" s="32">
        <f t="shared" si="4"/>
        <v>905</v>
      </c>
      <c r="F19" s="32">
        <f t="shared" si="4"/>
        <v>885</v>
      </c>
      <c r="G19" s="32">
        <f t="shared" si="4"/>
        <v>926</v>
      </c>
      <c r="H19" s="32">
        <f t="shared" si="4"/>
        <v>917</v>
      </c>
      <c r="I19" s="32">
        <f t="shared" si="4"/>
        <v>942</v>
      </c>
      <c r="J19" s="32">
        <f t="shared" si="4"/>
        <v>929</v>
      </c>
      <c r="K19" s="32">
        <f t="shared" si="4"/>
        <v>966</v>
      </c>
      <c r="L19" s="32">
        <f>SUM(C19:K19)</f>
        <v>8226</v>
      </c>
    </row>
    <row r="21" spans="1:12" ht="9.75" customHeight="1" x14ac:dyDescent="0.45"/>
    <row r="22" spans="1:12" ht="18" customHeight="1" x14ac:dyDescent="0.45">
      <c r="A22" s="8" t="s">
        <v>56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5" customHeight="1" x14ac:dyDescent="0.45">
      <c r="A23" s="13" t="s">
        <v>57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5" customHeight="1" x14ac:dyDescent="0.45">
      <c r="A24" s="33" t="s">
        <v>24</v>
      </c>
      <c r="B24" s="33" t="s">
        <v>25</v>
      </c>
      <c r="C24" s="34" t="s">
        <v>26</v>
      </c>
      <c r="D24" s="34" t="s">
        <v>27</v>
      </c>
      <c r="E24" s="34" t="s">
        <v>28</v>
      </c>
      <c r="F24" s="34" t="s">
        <v>29</v>
      </c>
      <c r="G24" s="34" t="s">
        <v>30</v>
      </c>
      <c r="H24" s="34" t="s">
        <v>31</v>
      </c>
      <c r="I24" s="34" t="s">
        <v>32</v>
      </c>
      <c r="J24" s="34" t="s">
        <v>33</v>
      </c>
      <c r="K24" s="34" t="s">
        <v>34</v>
      </c>
      <c r="L24" s="34" t="s">
        <v>58</v>
      </c>
    </row>
  </sheetData>
  <mergeCells count="6">
    <mergeCell ref="A23:L23"/>
    <mergeCell ref="A1:L1"/>
    <mergeCell ref="A3:L3"/>
    <mergeCell ref="A10:L10"/>
    <mergeCell ref="A14:L14"/>
    <mergeCell ref="A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E56"/>
  </sheetPr>
  <dimension ref="A1:L2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0" sqref="D30"/>
    </sheetView>
  </sheetViews>
  <sheetFormatPr baseColWidth="10" defaultColWidth="8.6640625" defaultRowHeight="14.25" x14ac:dyDescent="0.45"/>
  <cols>
    <col min="1" max="1" width="40" customWidth="1"/>
    <col min="2" max="2" width="28" customWidth="1"/>
    <col min="3" max="11" width="9" customWidth="1"/>
    <col min="12" max="12" width="11" customWidth="1"/>
  </cols>
  <sheetData>
    <row r="1" spans="1:12" ht="21.75" customHeight="1" x14ac:dyDescent="0.45">
      <c r="A1" s="10" t="s">
        <v>59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customHeight="1" x14ac:dyDescent="0.45">
      <c r="A2" s="19" t="s">
        <v>24</v>
      </c>
      <c r="B2" s="19" t="s">
        <v>25</v>
      </c>
      <c r="C2" s="24" t="s">
        <v>26</v>
      </c>
      <c r="D2" s="24" t="s">
        <v>27</v>
      </c>
      <c r="E2" s="24" t="s">
        <v>28</v>
      </c>
      <c r="F2" s="24" t="s">
        <v>29</v>
      </c>
      <c r="G2" s="24" t="s">
        <v>30</v>
      </c>
      <c r="H2" s="24" t="s">
        <v>31</v>
      </c>
      <c r="I2" s="24" t="s">
        <v>32</v>
      </c>
      <c r="J2" s="24" t="s">
        <v>33</v>
      </c>
      <c r="K2" s="24" t="s">
        <v>34</v>
      </c>
      <c r="L2" s="24" t="s">
        <v>35</v>
      </c>
    </row>
    <row r="3" spans="1:12" ht="15.75" customHeight="1" x14ac:dyDescent="0.45">
      <c r="A3" s="9" t="s">
        <v>60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5" customHeight="1" x14ac:dyDescent="0.45">
      <c r="A4" s="25" t="s">
        <v>61</v>
      </c>
      <c r="B4" s="25" t="s">
        <v>62</v>
      </c>
      <c r="C4" s="17">
        <v>62</v>
      </c>
      <c r="D4" s="17">
        <v>63</v>
      </c>
      <c r="E4" s="17">
        <v>65</v>
      </c>
      <c r="F4" s="17">
        <v>66</v>
      </c>
      <c r="G4" s="17">
        <v>68</v>
      </c>
      <c r="H4" s="17">
        <v>71</v>
      </c>
      <c r="I4" s="17">
        <v>73</v>
      </c>
      <c r="J4" s="17">
        <v>74</v>
      </c>
      <c r="K4" s="17">
        <v>77</v>
      </c>
      <c r="L4" s="26">
        <f>SUM(C4:K4)</f>
        <v>619</v>
      </c>
    </row>
    <row r="5" spans="1:12" ht="15" customHeight="1" x14ac:dyDescent="0.45">
      <c r="A5" s="25" t="s">
        <v>63</v>
      </c>
      <c r="B5" s="25" t="s">
        <v>62</v>
      </c>
      <c r="C5" s="17">
        <v>18</v>
      </c>
      <c r="D5" s="17">
        <v>18</v>
      </c>
      <c r="E5" s="17">
        <v>19</v>
      </c>
      <c r="F5" s="17">
        <v>19</v>
      </c>
      <c r="G5" s="17">
        <v>20</v>
      </c>
      <c r="H5" s="17">
        <v>20</v>
      </c>
      <c r="I5" s="17">
        <v>21</v>
      </c>
      <c r="J5" s="17">
        <v>21</v>
      </c>
      <c r="K5" s="17">
        <v>22</v>
      </c>
      <c r="L5" s="26">
        <f>SUM(C5:K5)</f>
        <v>178</v>
      </c>
    </row>
    <row r="6" spans="1:12" ht="15" customHeight="1" x14ac:dyDescent="0.45">
      <c r="A6" s="25" t="s">
        <v>64</v>
      </c>
      <c r="B6" s="25" t="s">
        <v>62</v>
      </c>
      <c r="C6" s="17">
        <v>8</v>
      </c>
      <c r="D6" s="17">
        <v>8</v>
      </c>
      <c r="E6" s="17">
        <v>8</v>
      </c>
      <c r="F6" s="17">
        <v>8</v>
      </c>
      <c r="G6" s="17">
        <v>9</v>
      </c>
      <c r="H6" s="17">
        <v>9</v>
      </c>
      <c r="I6" s="17">
        <v>9</v>
      </c>
      <c r="J6" s="17">
        <v>9</v>
      </c>
      <c r="K6" s="17">
        <v>9</v>
      </c>
      <c r="L6" s="26">
        <f>SUM(C6:K6)</f>
        <v>77</v>
      </c>
    </row>
    <row r="7" spans="1:12" ht="15" customHeight="1" x14ac:dyDescent="0.45">
      <c r="A7" s="27" t="s">
        <v>65</v>
      </c>
      <c r="B7" s="28"/>
      <c r="C7" s="29">
        <f t="shared" ref="C7:K7" si="0">C4+C5+C6</f>
        <v>88</v>
      </c>
      <c r="D7" s="29">
        <f t="shared" si="0"/>
        <v>89</v>
      </c>
      <c r="E7" s="29">
        <f t="shared" si="0"/>
        <v>92</v>
      </c>
      <c r="F7" s="29">
        <f t="shared" si="0"/>
        <v>93</v>
      </c>
      <c r="G7" s="29">
        <f t="shared" si="0"/>
        <v>97</v>
      </c>
      <c r="H7" s="29">
        <f t="shared" si="0"/>
        <v>100</v>
      </c>
      <c r="I7" s="29">
        <f t="shared" si="0"/>
        <v>103</v>
      </c>
      <c r="J7" s="29">
        <f t="shared" si="0"/>
        <v>104</v>
      </c>
      <c r="K7" s="29">
        <f t="shared" si="0"/>
        <v>108</v>
      </c>
      <c r="L7" s="29">
        <f>SUM(C7:K7)</f>
        <v>874</v>
      </c>
    </row>
    <row r="8" spans="1:12" ht="15.75" customHeight="1" x14ac:dyDescent="0.45">
      <c r="A8" s="9" t="s">
        <v>66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ht="15" customHeight="1" x14ac:dyDescent="0.45">
      <c r="A9" s="25" t="s">
        <v>67</v>
      </c>
      <c r="B9" s="25" t="s">
        <v>68</v>
      </c>
      <c r="C9" s="17">
        <v>4</v>
      </c>
      <c r="D9" s="17">
        <v>4</v>
      </c>
      <c r="E9" s="17">
        <v>4</v>
      </c>
      <c r="F9" s="17">
        <v>4</v>
      </c>
      <c r="G9" s="17">
        <v>4</v>
      </c>
      <c r="H9" s="17">
        <v>4</v>
      </c>
      <c r="I9" s="17">
        <v>4</v>
      </c>
      <c r="J9" s="17">
        <v>4</v>
      </c>
      <c r="K9" s="17">
        <v>4</v>
      </c>
      <c r="L9" s="26">
        <f>SUM(C9:K9)</f>
        <v>36</v>
      </c>
    </row>
    <row r="10" spans="1:12" ht="15" customHeight="1" x14ac:dyDescent="0.45">
      <c r="A10" s="25" t="s">
        <v>69</v>
      </c>
      <c r="B10" s="25" t="s">
        <v>68</v>
      </c>
      <c r="C10" s="17">
        <v>12</v>
      </c>
      <c r="D10" s="17">
        <v>12</v>
      </c>
      <c r="E10" s="17">
        <v>13</v>
      </c>
      <c r="F10" s="17">
        <v>13</v>
      </c>
      <c r="G10" s="17">
        <v>13</v>
      </c>
      <c r="H10" s="17">
        <v>14</v>
      </c>
      <c r="I10" s="17">
        <v>14</v>
      </c>
      <c r="J10" s="17">
        <v>14</v>
      </c>
      <c r="K10" s="17">
        <v>15</v>
      </c>
      <c r="L10" s="26">
        <f>SUM(C10:K10)</f>
        <v>120</v>
      </c>
    </row>
    <row r="11" spans="1:12" ht="15" customHeight="1" x14ac:dyDescent="0.45">
      <c r="A11" s="25" t="s">
        <v>70</v>
      </c>
      <c r="B11" s="25" t="s">
        <v>68</v>
      </c>
      <c r="C11" s="17">
        <v>22</v>
      </c>
      <c r="D11" s="17">
        <v>22</v>
      </c>
      <c r="E11" s="17">
        <v>22</v>
      </c>
      <c r="F11" s="17">
        <v>24</v>
      </c>
      <c r="G11" s="17">
        <v>24</v>
      </c>
      <c r="H11" s="17">
        <v>24</v>
      </c>
      <c r="I11" s="17">
        <v>26</v>
      </c>
      <c r="J11" s="17">
        <v>26</v>
      </c>
      <c r="K11" s="17">
        <v>26</v>
      </c>
      <c r="L11" s="26">
        <f>SUM(C11:K11)</f>
        <v>216</v>
      </c>
    </row>
    <row r="12" spans="1:12" ht="15" customHeight="1" x14ac:dyDescent="0.45">
      <c r="A12" s="25" t="s">
        <v>71</v>
      </c>
      <c r="B12" s="25" t="s">
        <v>68</v>
      </c>
      <c r="C12" s="17">
        <v>5</v>
      </c>
      <c r="D12" s="17">
        <v>6</v>
      </c>
      <c r="E12" s="17">
        <v>7</v>
      </c>
      <c r="F12" s="17">
        <v>9</v>
      </c>
      <c r="G12" s="17">
        <v>11</v>
      </c>
      <c r="H12" s="17">
        <v>13</v>
      </c>
      <c r="I12" s="17">
        <v>15</v>
      </c>
      <c r="J12" s="17">
        <v>17</v>
      </c>
      <c r="K12" s="17">
        <v>19</v>
      </c>
      <c r="L12" s="26">
        <f>SUM(C12:K12)</f>
        <v>102</v>
      </c>
    </row>
    <row r="13" spans="1:12" ht="15" customHeight="1" x14ac:dyDescent="0.45">
      <c r="A13" s="27" t="s">
        <v>72</v>
      </c>
      <c r="B13" s="28"/>
      <c r="C13" s="29">
        <f t="shared" ref="C13:K13" si="1">C9+C10+C11+C12</f>
        <v>43</v>
      </c>
      <c r="D13" s="29">
        <f t="shared" si="1"/>
        <v>44</v>
      </c>
      <c r="E13" s="29">
        <f t="shared" si="1"/>
        <v>46</v>
      </c>
      <c r="F13" s="29">
        <f t="shared" si="1"/>
        <v>50</v>
      </c>
      <c r="G13" s="29">
        <f t="shared" si="1"/>
        <v>52</v>
      </c>
      <c r="H13" s="29">
        <f t="shared" si="1"/>
        <v>55</v>
      </c>
      <c r="I13" s="29">
        <f t="shared" si="1"/>
        <v>59</v>
      </c>
      <c r="J13" s="29">
        <f t="shared" si="1"/>
        <v>61</v>
      </c>
      <c r="K13" s="29">
        <f t="shared" si="1"/>
        <v>64</v>
      </c>
      <c r="L13" s="29">
        <f>SUM(C13:K13)</f>
        <v>474</v>
      </c>
    </row>
    <row r="14" spans="1:12" ht="15.75" customHeight="1" x14ac:dyDescent="0.45">
      <c r="A14" s="9" t="s">
        <v>73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15" customHeight="1" x14ac:dyDescent="0.45">
      <c r="A15" s="25" t="s">
        <v>74</v>
      </c>
      <c r="B15" s="25" t="s">
        <v>75</v>
      </c>
      <c r="C15" s="17">
        <v>35</v>
      </c>
      <c r="D15" s="17">
        <v>35</v>
      </c>
      <c r="E15" s="17">
        <v>0</v>
      </c>
      <c r="F15" s="17">
        <v>0</v>
      </c>
      <c r="G15" s="17">
        <v>42</v>
      </c>
      <c r="H15" s="17">
        <v>42</v>
      </c>
      <c r="I15" s="17">
        <v>0</v>
      </c>
      <c r="J15" s="17">
        <v>0</v>
      </c>
      <c r="K15" s="17">
        <v>38</v>
      </c>
      <c r="L15" s="26">
        <f>SUM(C15:K15)</f>
        <v>192</v>
      </c>
    </row>
    <row r="16" spans="1:12" ht="15" customHeight="1" x14ac:dyDescent="0.45">
      <c r="A16" s="25" t="s">
        <v>76</v>
      </c>
      <c r="B16" s="25" t="s">
        <v>75</v>
      </c>
      <c r="C16" s="17">
        <v>0</v>
      </c>
      <c r="D16" s="17">
        <v>0</v>
      </c>
      <c r="E16" s="17">
        <v>18</v>
      </c>
      <c r="F16" s="17">
        <v>0</v>
      </c>
      <c r="G16" s="17">
        <v>0</v>
      </c>
      <c r="H16" s="17">
        <v>0</v>
      </c>
      <c r="I16" s="17">
        <v>20</v>
      </c>
      <c r="J16" s="17">
        <v>0</v>
      </c>
      <c r="K16" s="17">
        <v>0</v>
      </c>
      <c r="L16" s="26">
        <f>SUM(C16:K16)</f>
        <v>38</v>
      </c>
    </row>
    <row r="17" spans="1:12" ht="15" customHeight="1" x14ac:dyDescent="0.45">
      <c r="A17" s="27" t="s">
        <v>77</v>
      </c>
      <c r="B17" s="28"/>
      <c r="C17" s="29">
        <f t="shared" ref="C17:K17" si="2">C15+C16</f>
        <v>35</v>
      </c>
      <c r="D17" s="29">
        <f t="shared" si="2"/>
        <v>35</v>
      </c>
      <c r="E17" s="29">
        <f t="shared" si="2"/>
        <v>18</v>
      </c>
      <c r="F17" s="29">
        <f t="shared" si="2"/>
        <v>0</v>
      </c>
      <c r="G17" s="29">
        <f t="shared" si="2"/>
        <v>42</v>
      </c>
      <c r="H17" s="29">
        <f t="shared" si="2"/>
        <v>42</v>
      </c>
      <c r="I17" s="29">
        <f t="shared" si="2"/>
        <v>20</v>
      </c>
      <c r="J17" s="29">
        <f t="shared" si="2"/>
        <v>0</v>
      </c>
      <c r="K17" s="29">
        <f t="shared" si="2"/>
        <v>38</v>
      </c>
      <c r="L17" s="29">
        <f>SUM(C17:K17)</f>
        <v>230</v>
      </c>
    </row>
    <row r="18" spans="1:12" ht="19.5" customHeight="1" x14ac:dyDescent="0.45">
      <c r="A18" s="30" t="s">
        <v>78</v>
      </c>
      <c r="B18" s="31"/>
      <c r="C18" s="32">
        <f t="shared" ref="C18:K18" si="3">C7+C13+C17</f>
        <v>166</v>
      </c>
      <c r="D18" s="32">
        <f t="shared" si="3"/>
        <v>168</v>
      </c>
      <c r="E18" s="32">
        <f t="shared" si="3"/>
        <v>156</v>
      </c>
      <c r="F18" s="32">
        <f t="shared" si="3"/>
        <v>143</v>
      </c>
      <c r="G18" s="32">
        <f t="shared" si="3"/>
        <v>191</v>
      </c>
      <c r="H18" s="32">
        <f t="shared" si="3"/>
        <v>197</v>
      </c>
      <c r="I18" s="32">
        <f t="shared" si="3"/>
        <v>182</v>
      </c>
      <c r="J18" s="32">
        <f t="shared" si="3"/>
        <v>165</v>
      </c>
      <c r="K18" s="32">
        <f t="shared" si="3"/>
        <v>210</v>
      </c>
      <c r="L18" s="32">
        <f>SUM(C18:K18)</f>
        <v>1578</v>
      </c>
    </row>
    <row r="20" spans="1:12" ht="9.75" customHeight="1" x14ac:dyDescent="0.45"/>
    <row r="21" spans="1:12" ht="18" customHeight="1" x14ac:dyDescent="0.45">
      <c r="A21" s="8" t="s">
        <v>79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5" customHeight="1" x14ac:dyDescent="0.45">
      <c r="A22" s="13" t="s">
        <v>80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ht="15" customHeight="1" x14ac:dyDescent="0.45">
      <c r="A23" s="33" t="s">
        <v>24</v>
      </c>
      <c r="B23" s="33" t="s">
        <v>25</v>
      </c>
      <c r="C23" s="34" t="s">
        <v>26</v>
      </c>
      <c r="D23" s="34" t="s">
        <v>27</v>
      </c>
      <c r="E23" s="34" t="s">
        <v>28</v>
      </c>
      <c r="F23" s="34" t="s">
        <v>29</v>
      </c>
      <c r="G23" s="34" t="s">
        <v>30</v>
      </c>
      <c r="H23" s="34" t="s">
        <v>31</v>
      </c>
      <c r="I23" s="34" t="s">
        <v>32</v>
      </c>
      <c r="J23" s="34" t="s">
        <v>33</v>
      </c>
      <c r="K23" s="34" t="s">
        <v>34</v>
      </c>
      <c r="L23" s="34" t="s">
        <v>58</v>
      </c>
    </row>
  </sheetData>
  <mergeCells count="6">
    <mergeCell ref="A22:L22"/>
    <mergeCell ref="A1:L1"/>
    <mergeCell ref="A3:L3"/>
    <mergeCell ref="A8:L8"/>
    <mergeCell ref="A14:L14"/>
    <mergeCell ref="A21:L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3556"/>
  </sheetPr>
  <dimension ref="A1:L2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4" sqref="A24"/>
    </sheetView>
  </sheetViews>
  <sheetFormatPr baseColWidth="10" defaultColWidth="8.6640625" defaultRowHeight="14.25" x14ac:dyDescent="0.45"/>
  <cols>
    <col min="1" max="1" width="40" customWidth="1"/>
    <col min="2" max="2" width="28" customWidth="1"/>
    <col min="3" max="11" width="9" customWidth="1"/>
    <col min="12" max="12" width="11" customWidth="1"/>
  </cols>
  <sheetData>
    <row r="1" spans="1:12" ht="21.75" customHeight="1" x14ac:dyDescent="0.45">
      <c r="A1" s="10" t="s">
        <v>81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customHeight="1" x14ac:dyDescent="0.45">
      <c r="A2" s="19" t="s">
        <v>24</v>
      </c>
      <c r="B2" s="19" t="s">
        <v>25</v>
      </c>
      <c r="C2" s="24" t="s">
        <v>26</v>
      </c>
      <c r="D2" s="24" t="s">
        <v>27</v>
      </c>
      <c r="E2" s="24" t="s">
        <v>28</v>
      </c>
      <c r="F2" s="24" t="s">
        <v>29</v>
      </c>
      <c r="G2" s="24" t="s">
        <v>30</v>
      </c>
      <c r="H2" s="24" t="s">
        <v>31</v>
      </c>
      <c r="I2" s="24" t="s">
        <v>32</v>
      </c>
      <c r="J2" s="24" t="s">
        <v>33</v>
      </c>
      <c r="K2" s="24" t="s">
        <v>34</v>
      </c>
      <c r="L2" s="24" t="s">
        <v>35</v>
      </c>
    </row>
    <row r="3" spans="1:12" ht="15.75" customHeight="1" x14ac:dyDescent="0.45">
      <c r="A3" s="9" t="s">
        <v>82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5" customHeight="1" x14ac:dyDescent="0.45">
      <c r="A4" s="25" t="s">
        <v>83</v>
      </c>
      <c r="B4" s="25" t="s">
        <v>84</v>
      </c>
      <c r="C4" s="17">
        <v>0</v>
      </c>
      <c r="D4" s="17">
        <v>25</v>
      </c>
      <c r="E4" s="17">
        <v>0</v>
      </c>
      <c r="F4" s="17">
        <v>18</v>
      </c>
      <c r="G4" s="17">
        <v>0</v>
      </c>
      <c r="H4" s="17">
        <v>32</v>
      </c>
      <c r="I4" s="17">
        <v>0</v>
      </c>
      <c r="J4" s="17">
        <v>0</v>
      </c>
      <c r="K4" s="17">
        <v>45</v>
      </c>
      <c r="L4" s="26">
        <f>SUM(C4:K4)</f>
        <v>120</v>
      </c>
    </row>
    <row r="5" spans="1:12" ht="15" customHeight="1" x14ac:dyDescent="0.45">
      <c r="A5" s="25" t="s">
        <v>85</v>
      </c>
      <c r="B5" s="25" t="s">
        <v>84</v>
      </c>
      <c r="C5" s="17">
        <v>15</v>
      </c>
      <c r="D5" s="17">
        <v>15</v>
      </c>
      <c r="E5" s="17">
        <v>16</v>
      </c>
      <c r="F5" s="17">
        <v>16</v>
      </c>
      <c r="G5" s="17">
        <v>17</v>
      </c>
      <c r="H5" s="17">
        <v>17</v>
      </c>
      <c r="I5" s="17">
        <v>18</v>
      </c>
      <c r="J5" s="17">
        <v>18</v>
      </c>
      <c r="K5" s="17">
        <v>19</v>
      </c>
      <c r="L5" s="26">
        <f>SUM(C5:K5)</f>
        <v>151</v>
      </c>
    </row>
    <row r="6" spans="1:12" ht="15" customHeight="1" x14ac:dyDescent="0.45">
      <c r="A6" s="25" t="s">
        <v>86</v>
      </c>
      <c r="B6" s="25" t="s">
        <v>84</v>
      </c>
      <c r="C6" s="17">
        <v>8</v>
      </c>
      <c r="D6" s="17">
        <v>8</v>
      </c>
      <c r="E6" s="17">
        <v>9</v>
      </c>
      <c r="F6" s="17">
        <v>9</v>
      </c>
      <c r="G6" s="17">
        <v>10</v>
      </c>
      <c r="H6" s="17">
        <v>10</v>
      </c>
      <c r="I6" s="17">
        <v>10</v>
      </c>
      <c r="J6" s="17">
        <v>10</v>
      </c>
      <c r="K6" s="17">
        <v>11</v>
      </c>
      <c r="L6" s="26">
        <f>SUM(C6:K6)</f>
        <v>85</v>
      </c>
    </row>
    <row r="7" spans="1:12" ht="15" customHeight="1" x14ac:dyDescent="0.45">
      <c r="A7" s="25" t="s">
        <v>87</v>
      </c>
      <c r="B7" s="25" t="s">
        <v>84</v>
      </c>
      <c r="C7" s="17">
        <v>5</v>
      </c>
      <c r="D7" s="17">
        <v>5</v>
      </c>
      <c r="E7" s="17">
        <v>5</v>
      </c>
      <c r="F7" s="17">
        <v>5</v>
      </c>
      <c r="G7" s="17">
        <v>5</v>
      </c>
      <c r="H7" s="17">
        <v>5</v>
      </c>
      <c r="I7" s="17">
        <v>5</v>
      </c>
      <c r="J7" s="17">
        <v>5</v>
      </c>
      <c r="K7" s="17">
        <v>5</v>
      </c>
      <c r="L7" s="26">
        <f>SUM(C7:K7)</f>
        <v>45</v>
      </c>
    </row>
    <row r="8" spans="1:12" ht="15" customHeight="1" x14ac:dyDescent="0.45">
      <c r="A8" s="27" t="s">
        <v>88</v>
      </c>
      <c r="B8" s="28"/>
      <c r="C8" s="29">
        <f t="shared" ref="C8:K8" si="0">C4+C5+C6+C7</f>
        <v>28</v>
      </c>
      <c r="D8" s="29">
        <f t="shared" si="0"/>
        <v>53</v>
      </c>
      <c r="E8" s="29">
        <f t="shared" si="0"/>
        <v>30</v>
      </c>
      <c r="F8" s="29">
        <f t="shared" si="0"/>
        <v>48</v>
      </c>
      <c r="G8" s="29">
        <f t="shared" si="0"/>
        <v>32</v>
      </c>
      <c r="H8" s="29">
        <f t="shared" si="0"/>
        <v>64</v>
      </c>
      <c r="I8" s="29">
        <f t="shared" si="0"/>
        <v>33</v>
      </c>
      <c r="J8" s="29">
        <f t="shared" si="0"/>
        <v>33</v>
      </c>
      <c r="K8" s="29">
        <f t="shared" si="0"/>
        <v>80</v>
      </c>
      <c r="L8" s="29">
        <f>SUM(C8:K8)</f>
        <v>401</v>
      </c>
    </row>
    <row r="9" spans="1:12" ht="15.75" customHeight="1" x14ac:dyDescent="0.45">
      <c r="A9" s="9" t="s">
        <v>89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ht="15" customHeight="1" x14ac:dyDescent="0.45">
      <c r="A10" s="25" t="s">
        <v>90</v>
      </c>
      <c r="B10" s="25" t="s">
        <v>91</v>
      </c>
      <c r="C10" s="17">
        <v>28</v>
      </c>
      <c r="D10" s="17">
        <v>19</v>
      </c>
      <c r="E10" s="17">
        <v>34</v>
      </c>
      <c r="F10" s="17">
        <v>22</v>
      </c>
      <c r="G10" s="17">
        <v>38</v>
      </c>
      <c r="H10" s="17">
        <v>47</v>
      </c>
      <c r="I10" s="17">
        <v>29</v>
      </c>
      <c r="J10" s="17">
        <v>22</v>
      </c>
      <c r="K10" s="17">
        <v>43</v>
      </c>
      <c r="L10" s="26">
        <f>SUM(C10:K10)</f>
        <v>282</v>
      </c>
    </row>
    <row r="11" spans="1:12" ht="15" customHeight="1" x14ac:dyDescent="0.45">
      <c r="A11" s="25" t="s">
        <v>92</v>
      </c>
      <c r="B11" s="25" t="s">
        <v>91</v>
      </c>
      <c r="C11" s="17">
        <v>12</v>
      </c>
      <c r="D11" s="17">
        <v>14</v>
      </c>
      <c r="E11" s="17">
        <v>16</v>
      </c>
      <c r="F11" s="17">
        <v>11</v>
      </c>
      <c r="G11" s="17">
        <v>18</v>
      </c>
      <c r="H11" s="17">
        <v>22</v>
      </c>
      <c r="I11" s="17">
        <v>9</v>
      </c>
      <c r="J11" s="17">
        <v>8</v>
      </c>
      <c r="K11" s="17">
        <v>19</v>
      </c>
      <c r="L11" s="26">
        <f>SUM(C11:K11)</f>
        <v>129</v>
      </c>
    </row>
    <row r="12" spans="1:12" ht="15" customHeight="1" x14ac:dyDescent="0.45">
      <c r="A12" s="25" t="s">
        <v>93</v>
      </c>
      <c r="B12" s="25" t="s">
        <v>91</v>
      </c>
      <c r="C12" s="17">
        <v>14</v>
      </c>
      <c r="D12" s="17">
        <v>14</v>
      </c>
      <c r="E12" s="17">
        <v>14</v>
      </c>
      <c r="F12" s="17">
        <v>14</v>
      </c>
      <c r="G12" s="17">
        <v>14</v>
      </c>
      <c r="H12" s="17">
        <v>14</v>
      </c>
      <c r="I12" s="17">
        <v>14</v>
      </c>
      <c r="J12" s="17">
        <v>14</v>
      </c>
      <c r="K12" s="17">
        <v>14</v>
      </c>
      <c r="L12" s="26">
        <f>SUM(C12:K12)</f>
        <v>126</v>
      </c>
    </row>
    <row r="13" spans="1:12" ht="15" customHeight="1" x14ac:dyDescent="0.45">
      <c r="A13" s="25" t="s">
        <v>94</v>
      </c>
      <c r="B13" s="25" t="s">
        <v>91</v>
      </c>
      <c r="C13" s="17">
        <v>4</v>
      </c>
      <c r="D13" s="17">
        <v>4</v>
      </c>
      <c r="E13" s="17">
        <v>4</v>
      </c>
      <c r="F13" s="17">
        <v>4</v>
      </c>
      <c r="G13" s="17">
        <v>5</v>
      </c>
      <c r="H13" s="17">
        <v>5</v>
      </c>
      <c r="I13" s="17">
        <v>5</v>
      </c>
      <c r="J13" s="17">
        <v>5</v>
      </c>
      <c r="K13" s="17">
        <v>5</v>
      </c>
      <c r="L13" s="26">
        <f>SUM(C13:K13)</f>
        <v>41</v>
      </c>
    </row>
    <row r="14" spans="1:12" ht="15" customHeight="1" x14ac:dyDescent="0.45">
      <c r="A14" s="27" t="s">
        <v>95</v>
      </c>
      <c r="B14" s="28"/>
      <c r="C14" s="29">
        <f t="shared" ref="C14:K14" si="1">C10+C11+C12+C13</f>
        <v>58</v>
      </c>
      <c r="D14" s="29">
        <f t="shared" si="1"/>
        <v>51</v>
      </c>
      <c r="E14" s="29">
        <f t="shared" si="1"/>
        <v>68</v>
      </c>
      <c r="F14" s="29">
        <f t="shared" si="1"/>
        <v>51</v>
      </c>
      <c r="G14" s="29">
        <f t="shared" si="1"/>
        <v>75</v>
      </c>
      <c r="H14" s="29">
        <f t="shared" si="1"/>
        <v>88</v>
      </c>
      <c r="I14" s="29">
        <f t="shared" si="1"/>
        <v>57</v>
      </c>
      <c r="J14" s="29">
        <f t="shared" si="1"/>
        <v>49</v>
      </c>
      <c r="K14" s="29">
        <f t="shared" si="1"/>
        <v>81</v>
      </c>
      <c r="L14" s="29">
        <f>SUM(C14:K14)</f>
        <v>578</v>
      </c>
    </row>
    <row r="15" spans="1:12" ht="15.75" customHeight="1" x14ac:dyDescent="0.45">
      <c r="A15" s="9" t="s">
        <v>96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15" customHeight="1" x14ac:dyDescent="0.45">
      <c r="A16" s="25" t="s">
        <v>97</v>
      </c>
      <c r="B16" s="25" t="s">
        <v>98</v>
      </c>
      <c r="C16" s="17">
        <v>6</v>
      </c>
      <c r="D16" s="17">
        <v>6</v>
      </c>
      <c r="E16" s="17">
        <v>6</v>
      </c>
      <c r="F16" s="17">
        <v>6</v>
      </c>
      <c r="G16" s="17">
        <v>6</v>
      </c>
      <c r="H16" s="17">
        <v>6</v>
      </c>
      <c r="I16" s="17">
        <v>7</v>
      </c>
      <c r="J16" s="17">
        <v>7</v>
      </c>
      <c r="K16" s="17">
        <v>7</v>
      </c>
      <c r="L16" s="26">
        <f>SUM(C16:K16)</f>
        <v>57</v>
      </c>
    </row>
    <row r="17" spans="1:12" ht="15" customHeight="1" x14ac:dyDescent="0.45">
      <c r="A17" s="25" t="s">
        <v>99</v>
      </c>
      <c r="B17" s="25" t="s">
        <v>98</v>
      </c>
      <c r="C17" s="17">
        <v>4</v>
      </c>
      <c r="D17" s="17">
        <v>4</v>
      </c>
      <c r="E17" s="17">
        <v>5</v>
      </c>
      <c r="F17" s="17">
        <v>5</v>
      </c>
      <c r="G17" s="17">
        <v>5</v>
      </c>
      <c r="H17" s="17">
        <v>6</v>
      </c>
      <c r="I17" s="17">
        <v>5</v>
      </c>
      <c r="J17" s="17">
        <v>5</v>
      </c>
      <c r="K17" s="17">
        <v>6</v>
      </c>
      <c r="L17" s="26">
        <f>SUM(C17:K17)</f>
        <v>45</v>
      </c>
    </row>
    <row r="18" spans="1:12" ht="15" customHeight="1" x14ac:dyDescent="0.45">
      <c r="A18" s="27" t="s">
        <v>100</v>
      </c>
      <c r="B18" s="28"/>
      <c r="C18" s="29">
        <f t="shared" ref="C18:K18" si="2">C16+C17</f>
        <v>10</v>
      </c>
      <c r="D18" s="29">
        <f t="shared" si="2"/>
        <v>10</v>
      </c>
      <c r="E18" s="29">
        <f t="shared" si="2"/>
        <v>11</v>
      </c>
      <c r="F18" s="29">
        <f t="shared" si="2"/>
        <v>11</v>
      </c>
      <c r="G18" s="29">
        <f t="shared" si="2"/>
        <v>11</v>
      </c>
      <c r="H18" s="29">
        <f t="shared" si="2"/>
        <v>12</v>
      </c>
      <c r="I18" s="29">
        <f t="shared" si="2"/>
        <v>12</v>
      </c>
      <c r="J18" s="29">
        <f t="shared" si="2"/>
        <v>12</v>
      </c>
      <c r="K18" s="29">
        <f t="shared" si="2"/>
        <v>13</v>
      </c>
      <c r="L18" s="29">
        <f>SUM(C18:K18)</f>
        <v>102</v>
      </c>
    </row>
    <row r="19" spans="1:12" ht="19.5" customHeight="1" x14ac:dyDescent="0.45">
      <c r="A19" s="30" t="s">
        <v>101</v>
      </c>
      <c r="B19" s="31"/>
      <c r="C19" s="32">
        <f t="shared" ref="C19:K19" si="3">C8+C14+C18</f>
        <v>96</v>
      </c>
      <c r="D19" s="32">
        <f t="shared" si="3"/>
        <v>114</v>
      </c>
      <c r="E19" s="32">
        <f t="shared" si="3"/>
        <v>109</v>
      </c>
      <c r="F19" s="32">
        <f t="shared" si="3"/>
        <v>110</v>
      </c>
      <c r="G19" s="32">
        <f t="shared" si="3"/>
        <v>118</v>
      </c>
      <c r="H19" s="32">
        <f t="shared" si="3"/>
        <v>164</v>
      </c>
      <c r="I19" s="32">
        <f t="shared" si="3"/>
        <v>102</v>
      </c>
      <c r="J19" s="32">
        <f t="shared" si="3"/>
        <v>94</v>
      </c>
      <c r="K19" s="32">
        <f t="shared" si="3"/>
        <v>174</v>
      </c>
      <c r="L19" s="32">
        <f>SUM(C19:K19)</f>
        <v>1081</v>
      </c>
    </row>
    <row r="21" spans="1:12" ht="9.75" customHeight="1" x14ac:dyDescent="0.45"/>
    <row r="22" spans="1:12" ht="18" customHeight="1" x14ac:dyDescent="0.45">
      <c r="A22" s="8" t="s">
        <v>102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5" customHeight="1" x14ac:dyDescent="0.45">
      <c r="A23" s="13" t="s">
        <v>103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5" customHeight="1" x14ac:dyDescent="0.45">
      <c r="A24" s="33" t="s">
        <v>24</v>
      </c>
      <c r="B24" s="33" t="s">
        <v>25</v>
      </c>
      <c r="C24" s="34" t="s">
        <v>26</v>
      </c>
      <c r="D24" s="34" t="s">
        <v>27</v>
      </c>
      <c r="E24" s="34" t="s">
        <v>28</v>
      </c>
      <c r="F24" s="34" t="s">
        <v>29</v>
      </c>
      <c r="G24" s="34" t="s">
        <v>30</v>
      </c>
      <c r="H24" s="34" t="s">
        <v>31</v>
      </c>
      <c r="I24" s="34" t="s">
        <v>32</v>
      </c>
      <c r="J24" s="34" t="s">
        <v>33</v>
      </c>
      <c r="K24" s="34" t="s">
        <v>34</v>
      </c>
      <c r="L24" s="34" t="s">
        <v>58</v>
      </c>
    </row>
  </sheetData>
  <mergeCells count="6">
    <mergeCell ref="A23:L23"/>
    <mergeCell ref="A1:L1"/>
    <mergeCell ref="A3:L3"/>
    <mergeCell ref="A9:L9"/>
    <mergeCell ref="A15:L15"/>
    <mergeCell ref="A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54F0B"/>
  </sheetPr>
  <dimension ref="A1:L24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L1"/>
    </sheetView>
  </sheetViews>
  <sheetFormatPr baseColWidth="10" defaultColWidth="8.6640625" defaultRowHeight="14.25" x14ac:dyDescent="0.45"/>
  <cols>
    <col min="1" max="1" width="40" customWidth="1"/>
    <col min="2" max="2" width="28" customWidth="1"/>
    <col min="3" max="11" width="9" customWidth="1"/>
    <col min="12" max="12" width="11" customWidth="1"/>
  </cols>
  <sheetData>
    <row r="1" spans="1:12" ht="21.75" customHeight="1" x14ac:dyDescent="0.45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customHeight="1" x14ac:dyDescent="0.45">
      <c r="A2" s="19" t="s">
        <v>24</v>
      </c>
      <c r="B2" s="19" t="s">
        <v>25</v>
      </c>
      <c r="C2" s="24" t="s">
        <v>26</v>
      </c>
      <c r="D2" s="24" t="s">
        <v>27</v>
      </c>
      <c r="E2" s="24" t="s">
        <v>28</v>
      </c>
      <c r="F2" s="24" t="s">
        <v>29</v>
      </c>
      <c r="G2" s="24" t="s">
        <v>30</v>
      </c>
      <c r="H2" s="24" t="s">
        <v>31</v>
      </c>
      <c r="I2" s="24" t="s">
        <v>32</v>
      </c>
      <c r="J2" s="24" t="s">
        <v>33</v>
      </c>
      <c r="K2" s="24" t="s">
        <v>34</v>
      </c>
      <c r="L2" s="24" t="s">
        <v>35</v>
      </c>
    </row>
    <row r="3" spans="1:12" ht="15.75" customHeight="1" x14ac:dyDescent="0.45">
      <c r="A3" s="9" t="s">
        <v>105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15" customHeight="1" x14ac:dyDescent="0.45">
      <c r="A4" s="25" t="s">
        <v>106</v>
      </c>
      <c r="B4" s="25" t="s">
        <v>107</v>
      </c>
      <c r="C4" s="17">
        <v>38</v>
      </c>
      <c r="D4" s="17">
        <v>38</v>
      </c>
      <c r="E4" s="17">
        <v>38</v>
      </c>
      <c r="F4" s="17">
        <v>38</v>
      </c>
      <c r="G4" s="17">
        <v>38</v>
      </c>
      <c r="H4" s="17">
        <v>38</v>
      </c>
      <c r="I4" s="17">
        <v>38</v>
      </c>
      <c r="J4" s="17">
        <v>38</v>
      </c>
      <c r="K4" s="17">
        <v>38</v>
      </c>
      <c r="L4" s="26">
        <f>SUM(C4:K4)</f>
        <v>342</v>
      </c>
    </row>
    <row r="5" spans="1:12" ht="15" customHeight="1" x14ac:dyDescent="0.45">
      <c r="A5" s="25" t="s">
        <v>108</v>
      </c>
      <c r="B5" s="25" t="s">
        <v>107</v>
      </c>
      <c r="C5" s="17">
        <v>4</v>
      </c>
      <c r="D5" s="17">
        <v>4</v>
      </c>
      <c r="E5" s="17">
        <v>4</v>
      </c>
      <c r="F5" s="17">
        <v>4</v>
      </c>
      <c r="G5" s="17">
        <v>4</v>
      </c>
      <c r="H5" s="17">
        <v>4</v>
      </c>
      <c r="I5" s="17">
        <v>4</v>
      </c>
      <c r="J5" s="17">
        <v>4</v>
      </c>
      <c r="K5" s="17">
        <v>4</v>
      </c>
      <c r="L5" s="26">
        <f>SUM(C5:K5)</f>
        <v>36</v>
      </c>
    </row>
    <row r="6" spans="1:12" ht="15" customHeight="1" x14ac:dyDescent="0.45">
      <c r="A6" s="25" t="s">
        <v>109</v>
      </c>
      <c r="B6" s="25" t="s">
        <v>107</v>
      </c>
      <c r="C6" s="17">
        <v>3</v>
      </c>
      <c r="D6" s="17">
        <v>2</v>
      </c>
      <c r="E6" s="17">
        <v>4</v>
      </c>
      <c r="F6" s="17">
        <v>2</v>
      </c>
      <c r="G6" s="17">
        <v>3</v>
      </c>
      <c r="H6" s="17">
        <v>5</v>
      </c>
      <c r="I6" s="17">
        <v>3</v>
      </c>
      <c r="J6" s="17">
        <v>2</v>
      </c>
      <c r="K6" s="17">
        <v>4</v>
      </c>
      <c r="L6" s="26">
        <f>SUM(C6:K6)</f>
        <v>28</v>
      </c>
    </row>
    <row r="7" spans="1:12" ht="15" customHeight="1" x14ac:dyDescent="0.45">
      <c r="A7" s="25" t="s">
        <v>110</v>
      </c>
      <c r="B7" s="25" t="s">
        <v>107</v>
      </c>
      <c r="C7" s="17">
        <v>38</v>
      </c>
      <c r="D7" s="17">
        <v>38</v>
      </c>
      <c r="E7" s="17">
        <v>38</v>
      </c>
      <c r="F7" s="17">
        <v>38</v>
      </c>
      <c r="G7" s="17">
        <v>38</v>
      </c>
      <c r="H7" s="17">
        <v>38</v>
      </c>
      <c r="I7" s="17">
        <v>38</v>
      </c>
      <c r="J7" s="17">
        <v>38</v>
      </c>
      <c r="K7" s="17">
        <v>38</v>
      </c>
      <c r="L7" s="26">
        <f>SUM(C7:K7)</f>
        <v>342</v>
      </c>
    </row>
    <row r="8" spans="1:12" ht="15" customHeight="1" x14ac:dyDescent="0.45">
      <c r="A8" s="27" t="s">
        <v>111</v>
      </c>
      <c r="B8" s="28"/>
      <c r="C8" s="29">
        <f t="shared" ref="C8:K8" si="0">C4+C5+C6+C7</f>
        <v>83</v>
      </c>
      <c r="D8" s="29">
        <f t="shared" si="0"/>
        <v>82</v>
      </c>
      <c r="E8" s="29">
        <f t="shared" si="0"/>
        <v>84</v>
      </c>
      <c r="F8" s="29">
        <f t="shared" si="0"/>
        <v>82</v>
      </c>
      <c r="G8" s="29">
        <f t="shared" si="0"/>
        <v>83</v>
      </c>
      <c r="H8" s="29">
        <f t="shared" si="0"/>
        <v>85</v>
      </c>
      <c r="I8" s="29">
        <f t="shared" si="0"/>
        <v>83</v>
      </c>
      <c r="J8" s="29">
        <f t="shared" si="0"/>
        <v>82</v>
      </c>
      <c r="K8" s="29">
        <f t="shared" si="0"/>
        <v>84</v>
      </c>
      <c r="L8" s="29">
        <f>SUM(C8:K8)</f>
        <v>748</v>
      </c>
    </row>
    <row r="9" spans="1:12" ht="15.75" customHeight="1" x14ac:dyDescent="0.45">
      <c r="A9" s="9" t="s">
        <v>112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ht="15" customHeight="1" x14ac:dyDescent="0.45">
      <c r="A10" s="25" t="s">
        <v>113</v>
      </c>
      <c r="B10" s="25" t="s">
        <v>114</v>
      </c>
      <c r="C10" s="17">
        <v>8</v>
      </c>
      <c r="D10" s="17">
        <v>0</v>
      </c>
      <c r="E10" s="17">
        <v>0</v>
      </c>
      <c r="F10" s="17">
        <v>12</v>
      </c>
      <c r="G10" s="17">
        <v>0</v>
      </c>
      <c r="H10" s="17">
        <v>0</v>
      </c>
      <c r="I10" s="17">
        <v>8</v>
      </c>
      <c r="J10" s="17">
        <v>0</v>
      </c>
      <c r="K10" s="17">
        <v>0</v>
      </c>
      <c r="L10" s="26">
        <f>SUM(C10:K10)</f>
        <v>28</v>
      </c>
    </row>
    <row r="11" spans="1:12" ht="15" customHeight="1" x14ac:dyDescent="0.45">
      <c r="A11" s="25" t="s">
        <v>115</v>
      </c>
      <c r="B11" s="25" t="s">
        <v>114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22</v>
      </c>
      <c r="I11" s="17">
        <v>0</v>
      </c>
      <c r="J11" s="17">
        <v>0</v>
      </c>
      <c r="K11" s="17">
        <v>0</v>
      </c>
      <c r="L11" s="26">
        <f>SUM(C11:K11)</f>
        <v>22</v>
      </c>
    </row>
    <row r="12" spans="1:12" ht="15" customHeight="1" x14ac:dyDescent="0.45">
      <c r="A12" s="25" t="s">
        <v>116</v>
      </c>
      <c r="B12" s="25" t="s">
        <v>114</v>
      </c>
      <c r="C12" s="17">
        <v>3</v>
      </c>
      <c r="D12" s="17">
        <v>3</v>
      </c>
      <c r="E12" s="17">
        <v>3</v>
      </c>
      <c r="F12" s="17">
        <v>3</v>
      </c>
      <c r="G12" s="17">
        <v>3</v>
      </c>
      <c r="H12" s="17">
        <v>3</v>
      </c>
      <c r="I12" s="17">
        <v>3</v>
      </c>
      <c r="J12" s="17">
        <v>3</v>
      </c>
      <c r="K12" s="17">
        <v>3</v>
      </c>
      <c r="L12" s="26">
        <f>SUM(C12:K12)</f>
        <v>27</v>
      </c>
    </row>
    <row r="13" spans="1:12" ht="15" customHeight="1" x14ac:dyDescent="0.45">
      <c r="A13" s="25" t="s">
        <v>117</v>
      </c>
      <c r="B13" s="25" t="s">
        <v>114</v>
      </c>
      <c r="C13" s="17">
        <v>6</v>
      </c>
      <c r="D13" s="17">
        <v>6</v>
      </c>
      <c r="E13" s="17">
        <v>6</v>
      </c>
      <c r="F13" s="17">
        <v>6</v>
      </c>
      <c r="G13" s="17">
        <v>6</v>
      </c>
      <c r="H13" s="17">
        <v>6</v>
      </c>
      <c r="I13" s="17">
        <v>6</v>
      </c>
      <c r="J13" s="17">
        <v>6</v>
      </c>
      <c r="K13" s="17">
        <v>6</v>
      </c>
      <c r="L13" s="26">
        <f>SUM(C13:K13)</f>
        <v>54</v>
      </c>
    </row>
    <row r="14" spans="1:12" ht="15" customHeight="1" x14ac:dyDescent="0.45">
      <c r="A14" s="27" t="s">
        <v>118</v>
      </c>
      <c r="B14" s="28"/>
      <c r="C14" s="29">
        <f t="shared" ref="C14:K14" si="1">C10+C11+C12+C13</f>
        <v>17</v>
      </c>
      <c r="D14" s="29">
        <f t="shared" si="1"/>
        <v>9</v>
      </c>
      <c r="E14" s="29">
        <f t="shared" si="1"/>
        <v>9</v>
      </c>
      <c r="F14" s="29">
        <f t="shared" si="1"/>
        <v>21</v>
      </c>
      <c r="G14" s="29">
        <f t="shared" si="1"/>
        <v>9</v>
      </c>
      <c r="H14" s="29">
        <f t="shared" si="1"/>
        <v>31</v>
      </c>
      <c r="I14" s="29">
        <f t="shared" si="1"/>
        <v>17</v>
      </c>
      <c r="J14" s="29">
        <f t="shared" si="1"/>
        <v>9</v>
      </c>
      <c r="K14" s="29">
        <f t="shared" si="1"/>
        <v>9</v>
      </c>
      <c r="L14" s="29">
        <f>SUM(C14:K14)</f>
        <v>131</v>
      </c>
    </row>
    <row r="15" spans="1:12" ht="15.75" customHeight="1" x14ac:dyDescent="0.45">
      <c r="A15" s="9" t="s">
        <v>119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15" customHeight="1" x14ac:dyDescent="0.45">
      <c r="A16" s="25" t="s">
        <v>120</v>
      </c>
      <c r="B16" s="25" t="s">
        <v>121</v>
      </c>
      <c r="C16" s="17">
        <v>5</v>
      </c>
      <c r="D16" s="17">
        <v>5</v>
      </c>
      <c r="E16" s="17">
        <v>5</v>
      </c>
      <c r="F16" s="17">
        <v>5</v>
      </c>
      <c r="G16" s="17">
        <v>5</v>
      </c>
      <c r="H16" s="17">
        <v>5</v>
      </c>
      <c r="I16" s="17">
        <v>5</v>
      </c>
      <c r="J16" s="17">
        <v>5</v>
      </c>
      <c r="K16" s="17">
        <v>5</v>
      </c>
      <c r="L16" s="26">
        <f>SUM(C16:K16)</f>
        <v>45</v>
      </c>
    </row>
    <row r="17" spans="1:12" ht="15" customHeight="1" x14ac:dyDescent="0.45">
      <c r="A17" s="25" t="s">
        <v>122</v>
      </c>
      <c r="B17" s="25" t="s">
        <v>121</v>
      </c>
      <c r="C17" s="17">
        <v>4</v>
      </c>
      <c r="D17" s="17">
        <v>4</v>
      </c>
      <c r="E17" s="17">
        <v>4</v>
      </c>
      <c r="F17" s="17">
        <v>4</v>
      </c>
      <c r="G17" s="17">
        <v>4</v>
      </c>
      <c r="H17" s="17">
        <v>4</v>
      </c>
      <c r="I17" s="17">
        <v>4</v>
      </c>
      <c r="J17" s="17">
        <v>4</v>
      </c>
      <c r="K17" s="17">
        <v>4</v>
      </c>
      <c r="L17" s="26">
        <f>SUM(C17:K17)</f>
        <v>36</v>
      </c>
    </row>
    <row r="18" spans="1:12" ht="15" customHeight="1" x14ac:dyDescent="0.45">
      <c r="A18" s="27" t="s">
        <v>123</v>
      </c>
      <c r="B18" s="28"/>
      <c r="C18" s="29">
        <f t="shared" ref="C18:K18" si="2">C16+C17</f>
        <v>9</v>
      </c>
      <c r="D18" s="29">
        <f t="shared" si="2"/>
        <v>9</v>
      </c>
      <c r="E18" s="29">
        <f t="shared" si="2"/>
        <v>9</v>
      </c>
      <c r="F18" s="29">
        <f t="shared" si="2"/>
        <v>9</v>
      </c>
      <c r="G18" s="29">
        <f t="shared" si="2"/>
        <v>9</v>
      </c>
      <c r="H18" s="29">
        <f t="shared" si="2"/>
        <v>9</v>
      </c>
      <c r="I18" s="29">
        <f t="shared" si="2"/>
        <v>9</v>
      </c>
      <c r="J18" s="29">
        <f t="shared" si="2"/>
        <v>9</v>
      </c>
      <c r="K18" s="29">
        <f t="shared" si="2"/>
        <v>9</v>
      </c>
      <c r="L18" s="29">
        <f>SUM(C18:K18)</f>
        <v>81</v>
      </c>
    </row>
    <row r="19" spans="1:12" ht="19.5" customHeight="1" x14ac:dyDescent="0.45">
      <c r="A19" s="30" t="s">
        <v>124</v>
      </c>
      <c r="B19" s="31"/>
      <c r="C19" s="32">
        <f t="shared" ref="C19:K19" si="3">C8+C14+C18</f>
        <v>109</v>
      </c>
      <c r="D19" s="32">
        <f t="shared" si="3"/>
        <v>100</v>
      </c>
      <c r="E19" s="32">
        <f t="shared" si="3"/>
        <v>102</v>
      </c>
      <c r="F19" s="32">
        <f t="shared" si="3"/>
        <v>112</v>
      </c>
      <c r="G19" s="32">
        <f t="shared" si="3"/>
        <v>101</v>
      </c>
      <c r="H19" s="32">
        <f t="shared" si="3"/>
        <v>125</v>
      </c>
      <c r="I19" s="32">
        <f t="shared" si="3"/>
        <v>109</v>
      </c>
      <c r="J19" s="32">
        <f t="shared" si="3"/>
        <v>100</v>
      </c>
      <c r="K19" s="32">
        <f t="shared" si="3"/>
        <v>102</v>
      </c>
      <c r="L19" s="32">
        <f>SUM(C19:K19)</f>
        <v>960</v>
      </c>
    </row>
    <row r="21" spans="1:12" ht="9.75" customHeight="1" x14ac:dyDescent="0.45"/>
    <row r="22" spans="1:12" ht="18" customHeight="1" x14ac:dyDescent="0.45">
      <c r="A22" s="8" t="s">
        <v>125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5" customHeight="1" x14ac:dyDescent="0.45">
      <c r="A23" s="13" t="s">
        <v>126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5" customHeight="1" x14ac:dyDescent="0.45">
      <c r="A24" s="33" t="s">
        <v>24</v>
      </c>
      <c r="B24" s="33" t="s">
        <v>25</v>
      </c>
      <c r="C24" s="34" t="s">
        <v>26</v>
      </c>
      <c r="D24" s="34" t="s">
        <v>27</v>
      </c>
      <c r="E24" s="34" t="s">
        <v>28</v>
      </c>
      <c r="F24" s="34" t="s">
        <v>29</v>
      </c>
      <c r="G24" s="34" t="s">
        <v>30</v>
      </c>
      <c r="H24" s="34" t="s">
        <v>31</v>
      </c>
      <c r="I24" s="34" t="s">
        <v>32</v>
      </c>
      <c r="J24" s="34" t="s">
        <v>33</v>
      </c>
      <c r="K24" s="34" t="s">
        <v>34</v>
      </c>
      <c r="L24" s="34" t="s">
        <v>58</v>
      </c>
    </row>
  </sheetData>
  <mergeCells count="6">
    <mergeCell ref="A23:L23"/>
    <mergeCell ref="A1:L1"/>
    <mergeCell ref="A3:L3"/>
    <mergeCell ref="A9:L9"/>
    <mergeCell ref="A15:L15"/>
    <mergeCell ref="A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D9E75"/>
  </sheetPr>
  <dimension ref="A1:M8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22" sqref="G22"/>
    </sheetView>
  </sheetViews>
  <sheetFormatPr baseColWidth="10" defaultColWidth="8.6640625" defaultRowHeight="14.25" x14ac:dyDescent="0.45"/>
  <cols>
    <col min="1" max="2" width="16" customWidth="1"/>
    <col min="3" max="11" width="9" customWidth="1"/>
    <col min="12" max="12" width="11" customWidth="1"/>
    <col min="13" max="13" width="10" customWidth="1"/>
  </cols>
  <sheetData>
    <row r="1" spans="1:13" ht="21.75" customHeight="1" x14ac:dyDescent="0.45">
      <c r="A1" s="7" t="s">
        <v>127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3.5" customHeight="1" x14ac:dyDescent="0.45">
      <c r="A2" s="6" t="s">
        <v>128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 customHeight="1" x14ac:dyDescent="0.45">
      <c r="A3" s="19" t="s">
        <v>129</v>
      </c>
      <c r="B3" s="19" t="s">
        <v>25</v>
      </c>
      <c r="C3" s="24" t="s">
        <v>26</v>
      </c>
      <c r="D3" s="24" t="s">
        <v>27</v>
      </c>
      <c r="E3" s="24" t="s">
        <v>28</v>
      </c>
      <c r="F3" s="24" t="s">
        <v>29</v>
      </c>
      <c r="G3" s="24" t="s">
        <v>30</v>
      </c>
      <c r="H3" s="24" t="s">
        <v>31</v>
      </c>
      <c r="I3" s="24" t="s">
        <v>32</v>
      </c>
      <c r="J3" s="24" t="s">
        <v>33</v>
      </c>
      <c r="K3" s="24" t="s">
        <v>34</v>
      </c>
      <c r="L3" s="24" t="s">
        <v>35</v>
      </c>
      <c r="M3" s="24" t="s">
        <v>130</v>
      </c>
    </row>
    <row r="4" spans="1:13" ht="18" customHeight="1" x14ac:dyDescent="0.45">
      <c r="A4" s="36" t="s">
        <v>131</v>
      </c>
      <c r="B4" s="35" t="s">
        <v>132</v>
      </c>
      <c r="C4" s="37">
        <f>RH!C19</f>
        <v>885</v>
      </c>
      <c r="D4" s="37">
        <f>RH!D19</f>
        <v>871</v>
      </c>
      <c r="E4" s="37">
        <f>RH!E19</f>
        <v>905</v>
      </c>
      <c r="F4" s="37">
        <f>RH!F19</f>
        <v>885</v>
      </c>
      <c r="G4" s="37">
        <f>RH!G19</f>
        <v>926</v>
      </c>
      <c r="H4" s="37">
        <f>RH!H19</f>
        <v>917</v>
      </c>
      <c r="I4" s="37">
        <f>RH!I19</f>
        <v>942</v>
      </c>
      <c r="J4" s="37">
        <f>RH!J19</f>
        <v>929</v>
      </c>
      <c r="K4" s="37">
        <f>RH!K19</f>
        <v>966</v>
      </c>
      <c r="L4" s="38">
        <f>SUM(C4:K4)</f>
        <v>8226</v>
      </c>
      <c r="M4" s="39">
        <f>L4/L8</f>
        <v>0.69447024060785145</v>
      </c>
    </row>
    <row r="5" spans="1:13" ht="18" customHeight="1" x14ac:dyDescent="0.45">
      <c r="A5" s="36" t="s">
        <v>133</v>
      </c>
      <c r="B5" s="35" t="s">
        <v>134</v>
      </c>
      <c r="C5" s="37">
        <f>Tech!C18</f>
        <v>166</v>
      </c>
      <c r="D5" s="37">
        <f>Tech!D18</f>
        <v>168</v>
      </c>
      <c r="E5" s="37">
        <f>Tech!E18</f>
        <v>156</v>
      </c>
      <c r="F5" s="37">
        <f>Tech!F18</f>
        <v>143</v>
      </c>
      <c r="G5" s="37">
        <f>Tech!G18</f>
        <v>191</v>
      </c>
      <c r="H5" s="37">
        <f>Tech!H18</f>
        <v>197</v>
      </c>
      <c r="I5" s="37">
        <f>Tech!I18</f>
        <v>182</v>
      </c>
      <c r="J5" s="37">
        <f>Tech!J18</f>
        <v>165</v>
      </c>
      <c r="K5" s="37">
        <f>Tech!K18</f>
        <v>210</v>
      </c>
      <c r="L5" s="38">
        <f>SUM(C5:K5)</f>
        <v>1578</v>
      </c>
      <c r="M5" s="39">
        <f>L5/L8</f>
        <v>0.13322076825664839</v>
      </c>
    </row>
    <row r="6" spans="1:13" ht="18" customHeight="1" x14ac:dyDescent="0.45">
      <c r="A6" s="36" t="s">
        <v>135</v>
      </c>
      <c r="B6" s="35" t="s">
        <v>136</v>
      </c>
      <c r="C6" s="37">
        <f>'S&amp;M'!C19</f>
        <v>96</v>
      </c>
      <c r="D6" s="37">
        <f>'S&amp;M'!D19</f>
        <v>114</v>
      </c>
      <c r="E6" s="37">
        <f>'S&amp;M'!E19</f>
        <v>109</v>
      </c>
      <c r="F6" s="37">
        <f>'S&amp;M'!F19</f>
        <v>110</v>
      </c>
      <c r="G6" s="37">
        <f>'S&amp;M'!G19</f>
        <v>118</v>
      </c>
      <c r="H6" s="37">
        <f>'S&amp;M'!H19</f>
        <v>164</v>
      </c>
      <c r="I6" s="37">
        <f>'S&amp;M'!I19</f>
        <v>102</v>
      </c>
      <c r="J6" s="37">
        <f>'S&amp;M'!J19</f>
        <v>94</v>
      </c>
      <c r="K6" s="37">
        <f>'S&amp;M'!K19</f>
        <v>174</v>
      </c>
      <c r="L6" s="38">
        <f>SUM(C6:K6)</f>
        <v>1081</v>
      </c>
      <c r="M6" s="39">
        <f>L6/L8</f>
        <v>9.1262135922330095E-2</v>
      </c>
    </row>
    <row r="7" spans="1:13" ht="18" customHeight="1" x14ac:dyDescent="0.45">
      <c r="A7" s="35" t="s">
        <v>137</v>
      </c>
      <c r="B7" s="35" t="s">
        <v>138</v>
      </c>
      <c r="C7" s="37">
        <f>'G&amp;A'!C19</f>
        <v>109</v>
      </c>
      <c r="D7" s="37">
        <f>'G&amp;A'!D19</f>
        <v>100</v>
      </c>
      <c r="E7" s="37">
        <f>'G&amp;A'!E19</f>
        <v>102</v>
      </c>
      <c r="F7" s="37">
        <f>'G&amp;A'!F19</f>
        <v>112</v>
      </c>
      <c r="G7" s="37">
        <f>'G&amp;A'!G19</f>
        <v>101</v>
      </c>
      <c r="H7" s="37">
        <f>'G&amp;A'!H19</f>
        <v>125</v>
      </c>
      <c r="I7" s="37">
        <f>'G&amp;A'!I19</f>
        <v>109</v>
      </c>
      <c r="J7" s="37">
        <f>'G&amp;A'!J19</f>
        <v>100</v>
      </c>
      <c r="K7" s="37">
        <f>'G&amp;A'!K19</f>
        <v>102</v>
      </c>
      <c r="L7" s="38">
        <f>SUM(C7:K7)</f>
        <v>960</v>
      </c>
      <c r="M7" s="39">
        <f>L7/L8</f>
        <v>8.1046855213170108E-2</v>
      </c>
    </row>
    <row r="8" spans="1:13" ht="21.75" customHeight="1" x14ac:dyDescent="0.45">
      <c r="A8" s="30" t="s">
        <v>139</v>
      </c>
      <c r="B8" s="31"/>
      <c r="C8" s="32">
        <f t="shared" ref="C8:K8" si="0">SUM(C4:C7)</f>
        <v>1256</v>
      </c>
      <c r="D8" s="32">
        <f t="shared" si="0"/>
        <v>1253</v>
      </c>
      <c r="E8" s="32">
        <f t="shared" si="0"/>
        <v>1272</v>
      </c>
      <c r="F8" s="32">
        <f t="shared" si="0"/>
        <v>1250</v>
      </c>
      <c r="G8" s="32">
        <f t="shared" si="0"/>
        <v>1336</v>
      </c>
      <c r="H8" s="32">
        <f t="shared" si="0"/>
        <v>1403</v>
      </c>
      <c r="I8" s="32">
        <f t="shared" si="0"/>
        <v>1335</v>
      </c>
      <c r="J8" s="32">
        <f t="shared" si="0"/>
        <v>1288</v>
      </c>
      <c r="K8" s="32">
        <f t="shared" si="0"/>
        <v>1452</v>
      </c>
      <c r="L8" s="32">
        <f>SUM(C8:K8)</f>
        <v>11845</v>
      </c>
      <c r="M8" s="40" t="s">
        <v>140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24B4A"/>
  </sheetPr>
  <dimension ref="A1:F16"/>
  <sheetViews>
    <sheetView zoomScaleNormal="100" workbookViewId="0">
      <selection sqref="A1:F1"/>
    </sheetView>
  </sheetViews>
  <sheetFormatPr baseColWidth="10" defaultColWidth="8.6640625" defaultRowHeight="14.25" x14ac:dyDescent="0.45"/>
  <cols>
    <col min="1" max="1" width="14" customWidth="1"/>
    <col min="2" max="2" width="32" customWidth="1"/>
    <col min="3" max="3" width="16" customWidth="1"/>
    <col min="4" max="4" width="20" customWidth="1"/>
    <col min="5" max="5" width="12" customWidth="1"/>
    <col min="6" max="6" width="30" customWidth="1"/>
  </cols>
  <sheetData>
    <row r="1" spans="1:6" ht="21.75" customHeight="1" x14ac:dyDescent="0.45">
      <c r="A1" s="5" t="s">
        <v>181</v>
      </c>
      <c r="B1" s="5"/>
      <c r="C1" s="5"/>
      <c r="D1" s="5"/>
      <c r="E1" s="5"/>
      <c r="F1" s="5"/>
    </row>
    <row r="2" spans="1:6" ht="13.5" customHeight="1" x14ac:dyDescent="0.45">
      <c r="A2" s="4" t="s">
        <v>141</v>
      </c>
      <c r="B2" s="4"/>
      <c r="C2" s="4"/>
      <c r="D2" s="4"/>
      <c r="E2" s="4"/>
      <c r="F2" s="4"/>
    </row>
    <row r="3" spans="1:6" ht="18" customHeight="1" x14ac:dyDescent="0.45">
      <c r="A3" s="24" t="s">
        <v>129</v>
      </c>
      <c r="B3" s="24" t="s">
        <v>142</v>
      </c>
      <c r="C3" s="24" t="s">
        <v>143</v>
      </c>
      <c r="D3" s="24" t="s">
        <v>144</v>
      </c>
      <c r="E3" s="24" t="s">
        <v>145</v>
      </c>
      <c r="F3" s="24" t="s">
        <v>146</v>
      </c>
    </row>
    <row r="4" spans="1:6" ht="18" customHeight="1" x14ac:dyDescent="0.45">
      <c r="A4" s="41" t="s">
        <v>131</v>
      </c>
      <c r="B4" s="42" t="s">
        <v>147</v>
      </c>
      <c r="C4" s="37">
        <f>'✅ Synthèse'!L4</f>
        <v>8226</v>
      </c>
      <c r="D4" s="37">
        <f>RH!L19</f>
        <v>8226</v>
      </c>
      <c r="E4" s="26">
        <f>C4-D4</f>
        <v>0</v>
      </c>
      <c r="F4" s="43" t="str">
        <f>IF(ABS(E4)&lt;=1,"✅ OK","⚠ ÉCART : "&amp;TEXT(E4,"#,##0")&amp;" k€")</f>
        <v>✅ OK</v>
      </c>
    </row>
    <row r="5" spans="1:6" ht="18" customHeight="1" x14ac:dyDescent="0.45">
      <c r="A5" s="41" t="s">
        <v>133</v>
      </c>
      <c r="B5" s="42" t="s">
        <v>147</v>
      </c>
      <c r="C5" s="37">
        <f>'✅ Synthèse'!L5</f>
        <v>1578</v>
      </c>
      <c r="D5" s="37">
        <f>Tech!L18</f>
        <v>1578</v>
      </c>
      <c r="E5" s="26">
        <f>C5-D5</f>
        <v>0</v>
      </c>
      <c r="F5" s="43" t="str">
        <f>IF(ABS(E5)&lt;=1,"✅ OK","⚠ ÉCART : "&amp;TEXT(E5,"#,##0")&amp;" k€")</f>
        <v>✅ OK</v>
      </c>
    </row>
    <row r="6" spans="1:6" ht="18" customHeight="1" x14ac:dyDescent="0.45">
      <c r="A6" s="41" t="s">
        <v>135</v>
      </c>
      <c r="B6" s="42" t="s">
        <v>147</v>
      </c>
      <c r="C6" s="37">
        <f>'✅ Synthèse'!L6</f>
        <v>1081</v>
      </c>
      <c r="D6" s="37">
        <f>'S&amp;M'!L19</f>
        <v>1081</v>
      </c>
      <c r="E6" s="26">
        <f>C6-D6</f>
        <v>0</v>
      </c>
      <c r="F6" s="43" t="str">
        <f>IF(ABS(E6)&lt;=1,"✅ OK","⚠ ÉCART : "&amp;TEXT(E6,"#,##0")&amp;" k€")</f>
        <v>✅ OK</v>
      </c>
    </row>
    <row r="7" spans="1:6" ht="18" customHeight="1" x14ac:dyDescent="0.45">
      <c r="A7" s="41" t="s">
        <v>137</v>
      </c>
      <c r="B7" s="42" t="s">
        <v>147</v>
      </c>
      <c r="C7" s="37">
        <f>'✅ Synthèse'!L7</f>
        <v>960</v>
      </c>
      <c r="D7" s="37">
        <f>'G&amp;A'!L19</f>
        <v>960</v>
      </c>
      <c r="E7" s="26">
        <f>C7-D7</f>
        <v>0</v>
      </c>
      <c r="F7" s="43" t="str">
        <f>IF(ABS(E7)&lt;=1,"✅ OK","⚠ ÉCART : "&amp;TEXT(E7,"#,##0")&amp;" k€")</f>
        <v>✅ OK</v>
      </c>
    </row>
    <row r="9" spans="1:6" ht="21.75" customHeight="1" x14ac:dyDescent="0.45">
      <c r="A9" s="3" t="s">
        <v>148</v>
      </c>
      <c r="B9" s="3"/>
      <c r="C9" s="44">
        <f>'✅ Synthèse'!L8</f>
        <v>11845</v>
      </c>
      <c r="D9" s="44">
        <f>RH!L19+Tech!L18+'S&amp;M'!L19+'G&amp;A'!L19</f>
        <v>11845</v>
      </c>
      <c r="E9" s="44">
        <f>C9-D9</f>
        <v>0</v>
      </c>
      <c r="F9" s="45" t="str">
        <f>IF(ABS(E9)=0,"✅ FICHIER VALIDÉ","⚠ VÉRIFIER : "&amp;TEXT(ABS(E9),"#,##0")&amp;" k€ d'écart")</f>
        <v>✅ FICHIER VALIDÉ</v>
      </c>
    </row>
    <row r="11" spans="1:6" ht="18" customHeight="1" x14ac:dyDescent="0.45">
      <c r="A11" s="12" t="s">
        <v>149</v>
      </c>
      <c r="B11" s="12"/>
      <c r="C11" s="12"/>
      <c r="D11" s="12"/>
      <c r="E11" s="12"/>
      <c r="F11" s="12"/>
    </row>
    <row r="12" spans="1:6" ht="15.75" customHeight="1" x14ac:dyDescent="0.45">
      <c r="A12" s="11" t="s">
        <v>150</v>
      </c>
      <c r="B12" s="11"/>
      <c r="C12" s="11"/>
      <c r="D12" s="11"/>
      <c r="E12" s="11"/>
      <c r="F12" s="11"/>
    </row>
    <row r="13" spans="1:6" ht="15.75" customHeight="1" x14ac:dyDescent="0.45">
      <c r="A13" s="11" t="s">
        <v>151</v>
      </c>
      <c r="B13" s="11"/>
      <c r="C13" s="11"/>
      <c r="D13" s="11"/>
      <c r="E13" s="11"/>
      <c r="F13" s="11"/>
    </row>
    <row r="14" spans="1:6" ht="15.75" customHeight="1" x14ac:dyDescent="0.45">
      <c r="A14" s="11" t="s">
        <v>152</v>
      </c>
      <c r="B14" s="11"/>
      <c r="C14" s="11"/>
      <c r="D14" s="11"/>
      <c r="E14" s="11"/>
      <c r="F14" s="11"/>
    </row>
    <row r="15" spans="1:6" ht="15.75" customHeight="1" x14ac:dyDescent="0.45">
      <c r="A15" s="11" t="s">
        <v>153</v>
      </c>
      <c r="B15" s="11"/>
      <c r="C15" s="11"/>
      <c r="D15" s="11"/>
      <c r="E15" s="11"/>
      <c r="F15" s="11"/>
    </row>
    <row r="16" spans="1:6" ht="15.75" customHeight="1" x14ac:dyDescent="0.45">
      <c r="A16" s="11" t="s">
        <v>154</v>
      </c>
      <c r="B16" s="11"/>
      <c r="C16" s="11"/>
      <c r="D16" s="11"/>
      <c r="E16" s="11"/>
      <c r="F16" s="11"/>
    </row>
  </sheetData>
  <mergeCells count="9">
    <mergeCell ref="A13:F13"/>
    <mergeCell ref="A14:F14"/>
    <mergeCell ref="A15:F15"/>
    <mergeCell ref="A16:F16"/>
    <mergeCell ref="A1:F1"/>
    <mergeCell ref="A2:F2"/>
    <mergeCell ref="A9:B9"/>
    <mergeCell ref="A11:F1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8780"/>
  </sheetPr>
  <dimension ref="A1:C31"/>
  <sheetViews>
    <sheetView topLeftCell="A19" zoomScaleNormal="100" workbookViewId="0">
      <selection sqref="A1:C1"/>
    </sheetView>
  </sheetViews>
  <sheetFormatPr baseColWidth="10" defaultColWidth="8.6640625" defaultRowHeight="14.25" x14ac:dyDescent="0.45"/>
  <cols>
    <col min="1" max="1" width="75" customWidth="1"/>
    <col min="2" max="3" width="20" customWidth="1"/>
  </cols>
  <sheetData>
    <row r="1" spans="1:3" ht="25.5" customHeight="1" x14ac:dyDescent="0.45">
      <c r="A1" s="14" t="s">
        <v>155</v>
      </c>
      <c r="B1" s="14"/>
      <c r="C1" s="14"/>
    </row>
    <row r="4" spans="1:3" ht="18" customHeight="1" x14ac:dyDescent="0.45">
      <c r="A4" s="2" t="s">
        <v>156</v>
      </c>
      <c r="B4" s="2"/>
      <c r="C4" s="2"/>
    </row>
    <row r="5" spans="1:3" ht="15" customHeight="1" x14ac:dyDescent="0.45">
      <c r="A5" s="11" t="s">
        <v>157</v>
      </c>
      <c r="B5" s="11"/>
      <c r="C5" s="11"/>
    </row>
    <row r="6" spans="1:3" ht="15" customHeight="1" x14ac:dyDescent="0.45">
      <c r="A6" s="11" t="s">
        <v>158</v>
      </c>
      <c r="B6" s="11"/>
      <c r="C6" s="11"/>
    </row>
    <row r="7" spans="1:3" ht="15" customHeight="1" x14ac:dyDescent="0.45">
      <c r="A7" s="11" t="s">
        <v>159</v>
      </c>
      <c r="B7" s="11"/>
      <c r="C7" s="11"/>
    </row>
    <row r="8" spans="1:3" ht="15" customHeight="1" x14ac:dyDescent="0.45">
      <c r="A8" s="11" t="s">
        <v>160</v>
      </c>
      <c r="B8" s="11"/>
      <c r="C8" s="11"/>
    </row>
    <row r="9" spans="1:3" ht="15" customHeight="1" x14ac:dyDescent="0.45">
      <c r="A9" s="11" t="s">
        <v>161</v>
      </c>
      <c r="B9" s="11"/>
      <c r="C9" s="11"/>
    </row>
    <row r="10" spans="1:3" ht="15" customHeight="1" x14ac:dyDescent="0.45">
      <c r="A10" s="11" t="s">
        <v>162</v>
      </c>
      <c r="B10" s="11"/>
      <c r="C10" s="11"/>
    </row>
    <row r="12" spans="1:3" ht="18" customHeight="1" x14ac:dyDescent="0.45">
      <c r="A12" s="1" t="s">
        <v>163</v>
      </c>
      <c r="B12" s="1"/>
      <c r="C12" s="1"/>
    </row>
    <row r="13" spans="1:3" ht="15" customHeight="1" x14ac:dyDescent="0.45">
      <c r="A13" s="11" t="s">
        <v>164</v>
      </c>
      <c r="B13" s="11"/>
      <c r="C13" s="11"/>
    </row>
    <row r="14" spans="1:3" ht="15" customHeight="1" x14ac:dyDescent="0.45">
      <c r="A14" s="11" t="s">
        <v>165</v>
      </c>
      <c r="B14" s="11"/>
      <c r="C14" s="11"/>
    </row>
    <row r="15" spans="1:3" ht="15" customHeight="1" x14ac:dyDescent="0.45">
      <c r="A15" s="11" t="s">
        <v>166</v>
      </c>
      <c r="B15" s="11"/>
      <c r="C15" s="11"/>
    </row>
    <row r="16" spans="1:3" ht="15" customHeight="1" x14ac:dyDescent="0.45">
      <c r="A16" s="11" t="s">
        <v>167</v>
      </c>
      <c r="B16" s="11"/>
      <c r="C16" s="11"/>
    </row>
    <row r="17" spans="1:3" ht="15" customHeight="1" x14ac:dyDescent="0.45">
      <c r="A17" s="11" t="s">
        <v>168</v>
      </c>
      <c r="B17" s="11"/>
      <c r="C17" s="11"/>
    </row>
    <row r="19" spans="1:3" ht="18" customHeight="1" x14ac:dyDescent="0.45">
      <c r="A19" s="46" t="s">
        <v>169</v>
      </c>
      <c r="B19" s="46"/>
      <c r="C19" s="46"/>
    </row>
    <row r="20" spans="1:3" ht="15" customHeight="1" x14ac:dyDescent="0.45">
      <c r="A20" s="11" t="s">
        <v>170</v>
      </c>
      <c r="B20" s="11"/>
      <c r="C20" s="11"/>
    </row>
    <row r="21" spans="1:3" ht="15" customHeight="1" x14ac:dyDescent="0.45">
      <c r="A21" s="11" t="s">
        <v>171</v>
      </c>
      <c r="B21" s="11"/>
      <c r="C21" s="11"/>
    </row>
    <row r="22" spans="1:3" ht="15" customHeight="1" x14ac:dyDescent="0.45">
      <c r="A22" s="11" t="s">
        <v>172</v>
      </c>
      <c r="B22" s="11"/>
      <c r="C22" s="11"/>
    </row>
    <row r="23" spans="1:3" ht="15" customHeight="1" x14ac:dyDescent="0.45">
      <c r="A23" s="11" t="s">
        <v>173</v>
      </c>
      <c r="B23" s="11"/>
      <c r="C23" s="11"/>
    </row>
    <row r="24" spans="1:3" ht="15" customHeight="1" x14ac:dyDescent="0.45">
      <c r="A24" s="11" t="s">
        <v>174</v>
      </c>
      <c r="B24" s="11"/>
      <c r="C24" s="11"/>
    </row>
    <row r="25" spans="1:3" ht="15" customHeight="1" x14ac:dyDescent="0.45">
      <c r="A25" s="11" t="s">
        <v>175</v>
      </c>
      <c r="B25" s="11"/>
      <c r="C25" s="11"/>
    </row>
    <row r="27" spans="1:3" ht="18" customHeight="1" x14ac:dyDescent="0.45">
      <c r="A27" s="47" t="s">
        <v>176</v>
      </c>
      <c r="B27" s="47"/>
      <c r="C27" s="47"/>
    </row>
    <row r="28" spans="1:3" ht="15" customHeight="1" x14ac:dyDescent="0.45">
      <c r="A28" s="11" t="s">
        <v>177</v>
      </c>
      <c r="B28" s="11"/>
      <c r="C28" s="11"/>
    </row>
    <row r="29" spans="1:3" ht="15" customHeight="1" x14ac:dyDescent="0.45">
      <c r="A29" s="11" t="s">
        <v>178</v>
      </c>
      <c r="B29" s="11"/>
      <c r="C29" s="11"/>
    </row>
    <row r="30" spans="1:3" ht="15" customHeight="1" x14ac:dyDescent="0.45">
      <c r="A30" s="11" t="s">
        <v>179</v>
      </c>
      <c r="B30" s="11"/>
      <c r="C30" s="11"/>
    </row>
    <row r="31" spans="1:3" ht="15" customHeight="1" x14ac:dyDescent="0.45">
      <c r="A31" s="11" t="s">
        <v>180</v>
      </c>
      <c r="B31" s="11"/>
      <c r="C31" s="11"/>
    </row>
  </sheetData>
  <mergeCells count="26">
    <mergeCell ref="A31:C31"/>
    <mergeCell ref="A25:C25"/>
    <mergeCell ref="A27:C27"/>
    <mergeCell ref="A28:C28"/>
    <mergeCell ref="A29:C29"/>
    <mergeCell ref="A30:C30"/>
    <mergeCell ref="A20:C20"/>
    <mergeCell ref="A21:C21"/>
    <mergeCell ref="A22:C22"/>
    <mergeCell ref="A23:C23"/>
    <mergeCell ref="A24:C24"/>
    <mergeCell ref="A14:C14"/>
    <mergeCell ref="A15:C15"/>
    <mergeCell ref="A16:C16"/>
    <mergeCell ref="A17:C17"/>
    <mergeCell ref="A19:C19"/>
    <mergeCell ref="A8:C8"/>
    <mergeCell ref="A9:C9"/>
    <mergeCell ref="A10:C10"/>
    <mergeCell ref="A12:C12"/>
    <mergeCell ref="A13:C13"/>
    <mergeCell ref="A1:C1"/>
    <mergeCell ref="A4:C4"/>
    <mergeCell ref="A5:C5"/>
    <mergeCell ref="A6:C6"/>
    <mergeCell ref="A7:C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⚙ Config</vt:lpstr>
      <vt:lpstr>RH</vt:lpstr>
      <vt:lpstr>Tech</vt:lpstr>
      <vt:lpstr>S&amp;M</vt:lpstr>
      <vt:lpstr>G&amp;A</vt:lpstr>
      <vt:lpstr>✅ Synthèse</vt:lpstr>
      <vt:lpstr>Contrôles</vt:lpstr>
      <vt:lpstr>📋 Note 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Johan MOUNIER</cp:lastModifiedBy>
  <cp:revision>0</cp:revision>
  <dcterms:created xsi:type="dcterms:W3CDTF">2026-05-25T16:20:44Z</dcterms:created>
  <dcterms:modified xsi:type="dcterms:W3CDTF">2026-05-26T09:02:59Z</dcterms:modified>
  <dc:language>en-US</dc:language>
</cp:coreProperties>
</file>